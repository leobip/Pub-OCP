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x803139\OneDrive - Santander Office 365\Documentos\GitHub\deploy-tools\lllp_dev&amp;test\Set_Versions_Jenkins\"/>
    </mc:Choice>
  </mc:AlternateContent>
  <bookViews>
    <workbookView xWindow="0" yWindow="0" windowWidth="28800" windowHeight="12435" activeTab="3"/>
  </bookViews>
  <sheets>
    <sheet name="Conf" sheetId="2" r:id="rId1"/>
    <sheet name="Temp" sheetId="4" state="hidden" r:id="rId2"/>
    <sheet name="Deploy" sheetId="1" r:id="rId3"/>
    <sheet name="PastDeploys" sheetId="3" r:id="rId4"/>
  </sheets>
  <definedNames>
    <definedName name="_xlnm._FilterDatabase" localSheetId="0" hidden="1">Conf!$A$37:$A$42</definedName>
    <definedName name="filePath">Conf!$B$12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03" i="3" l="1"/>
  <c r="E202" i="3" l="1"/>
  <c r="E201" i="3"/>
  <c r="E200" i="3"/>
  <c r="E199" i="3"/>
  <c r="E198" i="3"/>
  <c r="E197" i="3"/>
  <c r="E196" i="3"/>
  <c r="E195" i="3"/>
  <c r="E194" i="3"/>
  <c r="E193" i="3"/>
  <c r="E192" i="3"/>
  <c r="E191" i="3"/>
  <c r="E190" i="3"/>
  <c r="E189" i="3"/>
  <c r="E188" i="3"/>
  <c r="E187" i="3"/>
  <c r="E186" i="3"/>
  <c r="E185" i="3"/>
  <c r="E184" i="3"/>
  <c r="E183" i="3"/>
  <c r="E182" i="3"/>
  <c r="E181" i="3"/>
  <c r="E180" i="3"/>
  <c r="E179" i="3"/>
  <c r="E178" i="3"/>
  <c r="E177" i="3"/>
  <c r="E176" i="3"/>
  <c r="E175" i="3"/>
  <c r="E174" i="3"/>
  <c r="E173" i="3"/>
  <c r="E172" i="3"/>
  <c r="E171" i="3"/>
  <c r="E170" i="3"/>
  <c r="E169" i="3"/>
  <c r="E168" i="3"/>
  <c r="E167" i="3"/>
  <c r="E166" i="3"/>
  <c r="E165" i="3"/>
  <c r="E164" i="3"/>
  <c r="E163" i="3"/>
  <c r="E162" i="3"/>
  <c r="E161" i="3"/>
  <c r="E160" i="3"/>
  <c r="E159" i="3"/>
  <c r="E158" i="3"/>
  <c r="E157" i="3"/>
  <c r="E156" i="3"/>
  <c r="E155" i="3" l="1"/>
  <c r="E154" i="3"/>
  <c r="E153" i="3"/>
  <c r="E152" i="3"/>
  <c r="E151" i="3"/>
  <c r="E150" i="3"/>
  <c r="E149" i="3"/>
  <c r="E148" i="3"/>
  <c r="E147" i="3"/>
  <c r="E146" i="3"/>
  <c r="E145" i="3"/>
  <c r="E144" i="3"/>
  <c r="E143" i="3"/>
  <c r="E142" i="3"/>
  <c r="E141" i="3"/>
  <c r="E140" i="3"/>
  <c r="E139" i="3"/>
  <c r="E138" i="3"/>
  <c r="E137" i="3"/>
  <c r="E136" i="3"/>
  <c r="E135" i="3"/>
  <c r="E134" i="3"/>
  <c r="E133" i="3"/>
  <c r="E132" i="3"/>
  <c r="E131" i="3"/>
  <c r="E130" i="3"/>
  <c r="E129" i="3"/>
  <c r="E128" i="3"/>
  <c r="E127" i="3"/>
  <c r="E126" i="3"/>
  <c r="E125" i="3"/>
  <c r="E124" i="3"/>
  <c r="E123" i="3" l="1"/>
  <c r="E122" i="3"/>
  <c r="E121" i="3"/>
  <c r="E120" i="3"/>
  <c r="E119" i="3"/>
  <c r="E118" i="3"/>
  <c r="E117" i="3"/>
  <c r="E116" i="3"/>
  <c r="E115" i="3"/>
  <c r="E114" i="3"/>
  <c r="E113" i="3"/>
  <c r="E112" i="3"/>
  <c r="E111" i="3"/>
  <c r="E110" i="3"/>
  <c r="E109" i="3"/>
  <c r="E108" i="3"/>
  <c r="E107" i="3"/>
  <c r="E106" i="3"/>
  <c r="E105" i="3"/>
  <c r="E104" i="3"/>
  <c r="E103" i="3"/>
  <c r="E102" i="3"/>
  <c r="E101" i="3"/>
  <c r="E100" i="3"/>
  <c r="E99" i="3"/>
  <c r="E98" i="3"/>
  <c r="E97" i="3" l="1"/>
  <c r="E96" i="3"/>
  <c r="E95" i="3"/>
  <c r="E94" i="3"/>
  <c r="E93" i="3"/>
  <c r="E92" i="3"/>
  <c r="E91" i="3"/>
  <c r="E90" i="3"/>
  <c r="E89" i="3"/>
  <c r="E2" i="3" l="1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B8" i="2" l="1"/>
</calcChain>
</file>

<file path=xl/sharedStrings.xml><?xml version="1.0" encoding="utf-8"?>
<sst xmlns="http://schemas.openxmlformats.org/spreadsheetml/2006/main" count="1312" uniqueCount="250">
  <si>
    <t>Clasificación</t>
  </si>
  <si>
    <t>Microservicios</t>
  </si>
  <si>
    <t>GroupId</t>
  </si>
  <si>
    <t>ArtifactId</t>
  </si>
  <si>
    <t>Version</t>
  </si>
  <si>
    <t>Acceso</t>
  </si>
  <si>
    <t>gateway</t>
  </si>
  <si>
    <t>com.mercurytfs.mercury.cloud.modules</t>
  </si>
  <si>
    <t>gateway.config</t>
  </si>
  <si>
    <t>Core</t>
  </si>
  <si>
    <t>cloud</t>
  </si>
  <si>
    <t>com.mercurytfs.mercury.cloud.web</t>
  </si>
  <si>
    <t>cloud.config</t>
  </si>
  <si>
    <t>cloud.web.all</t>
  </si>
  <si>
    <t>scheduler</t>
  </si>
  <si>
    <t>scheduler.config</t>
  </si>
  <si>
    <t>scheduler.web.all</t>
  </si>
  <si>
    <t>tokenmanager</t>
  </si>
  <si>
    <t>tokenmanager.boot</t>
  </si>
  <si>
    <t>com.mercurytfs.mercury.cloud</t>
  </si>
  <si>
    <t>tokenmanager.config</t>
  </si>
  <si>
    <t>Productos</t>
  </si>
  <si>
    <t>collectionsexport</t>
  </si>
  <si>
    <t>collections.export.config</t>
  </si>
  <si>
    <t>collections.export.web.all</t>
  </si>
  <si>
    <t>collections.import.config</t>
  </si>
  <si>
    <t>collections.import.web.all</t>
  </si>
  <si>
    <t>exportlc.config</t>
  </si>
  <si>
    <t>5.55.0</t>
  </si>
  <si>
    <t>exportlc.web.all</t>
  </si>
  <si>
    <t>importlc.config</t>
  </si>
  <si>
    <t>importlc.web.all</t>
  </si>
  <si>
    <t>stbexport.web.all</t>
  </si>
  <si>
    <t>stbexport.config</t>
  </si>
  <si>
    <t>stbimport.web.all</t>
  </si>
  <si>
    <t>stbimport.config</t>
  </si>
  <si>
    <t>loans.config</t>
  </si>
  <si>
    <t>loans.web.all</t>
  </si>
  <si>
    <t>Integración</t>
  </si>
  <si>
    <t>gts.integration.boot</t>
  </si>
  <si>
    <t>mock.gts.api</t>
  </si>
  <si>
    <t>collexp.integration.boot</t>
  </si>
  <si>
    <t>collimp.integration.boot</t>
  </si>
  <si>
    <t>exportlc.integration.boot</t>
  </si>
  <si>
    <t>importlc.integration.boot</t>
  </si>
  <si>
    <t>loans.integration.boot</t>
  </si>
  <si>
    <t>stbexport.integration.boot</t>
  </si>
  <si>
    <t>1.22.0</t>
  </si>
  <si>
    <t>stbimport.integration.boot</t>
  </si>
  <si>
    <t>jobs.integration.boot</t>
  </si>
  <si>
    <t>Jobs</t>
  </si>
  <si>
    <t>5.54.0</t>
  </si>
  <si>
    <t>collections.export.jobs.web.all</t>
  </si>
  <si>
    <t>loansjobs</t>
  </si>
  <si>
    <t>loans.jobs.web.all</t>
  </si>
  <si>
    <t>accountingjobs</t>
  </si>
  <si>
    <t>accounting.jobs.web.all</t>
  </si>
  <si>
    <t>accruementjobs</t>
  </si>
  <si>
    <t>accruement.jobs.web.all</t>
  </si>
  <si>
    <t>activityjobs</t>
  </si>
  <si>
    <t>activity.jobs.web.all</t>
  </si>
  <si>
    <t>adminjobs</t>
  </si>
  <si>
    <t>admin.jobs.cloud</t>
  </si>
  <si>
    <t>automaticprocesses</t>
  </si>
  <si>
    <t>automaticprocesses.jobs.web.all</t>
  </si>
  <si>
    <t>notificationjobs</t>
  </si>
  <si>
    <t>notification.jobs.web.all</t>
  </si>
  <si>
    <t>reporterjobs</t>
  </si>
  <si>
    <t>reporter.jobs.web.all</t>
  </si>
  <si>
    <t>stbexportjobs</t>
  </si>
  <si>
    <t>stbexport.jobs.web.all</t>
  </si>
  <si>
    <t>stbimportjobs</t>
  </si>
  <si>
    <t>stbimport.jobs.web.all</t>
  </si>
  <si>
    <t>jobs.gts</t>
  </si>
  <si>
    <t>letterManager.service.impl.db.font</t>
  </si>
  <si>
    <t>com.mercurytfs.mercury.modules</t>
  </si>
  <si>
    <t>jms-config</t>
  </si>
  <si>
    <t>com.mercurytfs.mercury.ehcache</t>
  </si>
  <si>
    <t>Enviroment:</t>
  </si>
  <si>
    <t>Entornos:</t>
  </si>
  <si>
    <t>esp/pre</t>
  </si>
  <si>
    <t>chi/pre</t>
  </si>
  <si>
    <t>mex/pre</t>
  </si>
  <si>
    <t>Deploy Type:</t>
  </si>
  <si>
    <t>Deploy Type</t>
  </si>
  <si>
    <t>Release</t>
  </si>
  <si>
    <t>Hotfix</t>
  </si>
  <si>
    <t>Version Number:</t>
  </si>
  <si>
    <t>Deploy</t>
  </si>
  <si>
    <t>Deploy-Type</t>
  </si>
  <si>
    <t>Vers</t>
  </si>
  <si>
    <t>Micro</t>
  </si>
  <si>
    <t>Micro-Vers</t>
  </si>
  <si>
    <t>Obs</t>
  </si>
  <si>
    <t>classpath</t>
  </si>
  <si>
    <t>Obs.</t>
  </si>
  <si>
    <t>Art</t>
  </si>
  <si>
    <t>5.70.0</t>
  </si>
  <si>
    <t>5.74.0</t>
  </si>
  <si>
    <t>5.64.0</t>
  </si>
  <si>
    <t>1.74.0</t>
  </si>
  <si>
    <t>1.71.0</t>
  </si>
  <si>
    <t>5.60.0</t>
  </si>
  <si>
    <t>1.73.0</t>
  </si>
  <si>
    <t>5.47.0</t>
  </si>
  <si>
    <t>1.69.0</t>
  </si>
  <si>
    <t>5.34.0</t>
  </si>
  <si>
    <t>1.52.0</t>
  </si>
  <si>
    <t>1.68.0</t>
  </si>
  <si>
    <t>5.35.0</t>
  </si>
  <si>
    <t>1.25.0</t>
  </si>
  <si>
    <t>1.30.0</t>
  </si>
  <si>
    <t>gateway.boot</t>
  </si>
  <si>
    <t>Deploy-Date</t>
  </si>
  <si>
    <t>Path to deploy file:</t>
  </si>
  <si>
    <t>Artif_id</t>
  </si>
  <si>
    <t>Env</t>
  </si>
  <si>
    <t>Instructions:</t>
  </si>
  <si>
    <t>Get the values from excel file.</t>
  </si>
  <si>
    <t xml:space="preserve">1.- Fill the fields: </t>
  </si>
  <si>
    <t xml:space="preserve">Date of deployment: </t>
  </si>
  <si>
    <t>3.- Check the loaded values</t>
  </si>
  <si>
    <t xml:space="preserve">4.- Add notes in case </t>
  </si>
  <si>
    <t>5.- Press the Proccess local table to execute the python script to set the artifacts &amp; respective versions in the jenkinsfiles</t>
  </si>
  <si>
    <t>Variables:</t>
  </si>
  <si>
    <t>1.19.0</t>
  </si>
  <si>
    <t>esp/dev</t>
  </si>
  <si>
    <t>JIRA DESPLIEGUE</t>
  </si>
  <si>
    <t>Versionar</t>
  </si>
  <si>
    <t>¿Versión nueva?</t>
  </si>
  <si>
    <t>Desplegar</t>
  </si>
  <si>
    <t>5.66.0</t>
  </si>
  <si>
    <t>5.12.0</t>
  </si>
  <si>
    <t>5.68.0</t>
  </si>
  <si>
    <t>5.59.0</t>
  </si>
  <si>
    <t>5.51.0</t>
  </si>
  <si>
    <t>5.31.0</t>
  </si>
  <si>
    <t>5.49.0</t>
  </si>
  <si>
    <t>5.43.0</t>
  </si>
  <si>
    <t>1.63.0</t>
  </si>
  <si>
    <t>1.71.1</t>
  </si>
  <si>
    <t>1.70.0</t>
  </si>
  <si>
    <t>1.65.0</t>
  </si>
  <si>
    <t>1.49.0</t>
  </si>
  <si>
    <t>1.27.0</t>
  </si>
  <si>
    <t>1.9.0</t>
  </si>
  <si>
    <t>5.3.0</t>
  </si>
  <si>
    <t>5.5.0</t>
  </si>
  <si>
    <t>1.19.X</t>
  </si>
  <si>
    <t>5.66.4</t>
  </si>
  <si>
    <t>1.71.3</t>
  </si>
  <si>
    <t>5.43.3</t>
  </si>
  <si>
    <t>1.27.1</t>
  </si>
  <si>
    <t>1.21.0</t>
  </si>
  <si>
    <t>5.37.0</t>
  </si>
  <si>
    <t>5.57.0</t>
  </si>
  <si>
    <t>1.32.0</t>
  </si>
  <si>
    <t>5.74.1</t>
  </si>
  <si>
    <t>5.64.1</t>
  </si>
  <si>
    <t>5.75.1</t>
  </si>
  <si>
    <t>5.61.1</t>
  </si>
  <si>
    <t>1.21.4</t>
  </si>
  <si>
    <t xml:space="preserve">Be Sure the python script is the current directory </t>
  </si>
  <si>
    <t>(Pagina donde esta el archivo Excel con a tabla con las versiones a desplegar)</t>
  </si>
  <si>
    <t xml:space="preserve">2.- Press the Load Vers. From file to get the artifacts &amp; versions to deploy. - In case of deploy without excel file (hotfix) fill directly the local table </t>
  </si>
  <si>
    <t>Process in GitHub Desktop</t>
  </si>
  <si>
    <t xml:space="preserve">5.1.- Add local Repository in File, Select the folder: temp-merc-jenks-repo </t>
  </si>
  <si>
    <t>5.2.- Verify the changes</t>
  </si>
  <si>
    <t>5.3.- Add the Summary</t>
  </si>
  <si>
    <t>5.4.- Press Commit</t>
  </si>
  <si>
    <t>5.5.- Push the commit to GitHub</t>
  </si>
  <si>
    <t xml:space="preserve">6.- Execute the Pipelines </t>
  </si>
  <si>
    <t>7.- Add comments in case (ex: rollbacks, etc.)</t>
  </si>
  <si>
    <t>8.- Execute the Process Local Table to add the versions deployed to the table in PastDeploys.</t>
  </si>
  <si>
    <t>setVersJenks.py</t>
  </si>
  <si>
    <t>collectionsimport</t>
  </si>
  <si>
    <t>exportlc</t>
  </si>
  <si>
    <t>importlc</t>
  </si>
  <si>
    <t>stbexport</t>
  </si>
  <si>
    <t>stbimport</t>
  </si>
  <si>
    <t>loans</t>
  </si>
  <si>
    <t>gtsintegration</t>
  </si>
  <si>
    <t>com.mercurytfs.mercury.cloud.integration</t>
  </si>
  <si>
    <t>mockgts</t>
  </si>
  <si>
    <t>collexpintegration</t>
  </si>
  <si>
    <t>collimpintegration</t>
  </si>
  <si>
    <t>exportlcintegration</t>
  </si>
  <si>
    <t>importlcintegration</t>
  </si>
  <si>
    <t>loansintegration</t>
  </si>
  <si>
    <t>stbexportintegration</t>
  </si>
  <si>
    <t>stbimportintegration</t>
  </si>
  <si>
    <t>jobsintegration</t>
  </si>
  <si>
    <t>importlcjobs</t>
  </si>
  <si>
    <t>importlc.jobs.web.all</t>
  </si>
  <si>
    <t>exportlcjobs</t>
  </si>
  <si>
    <t>exportlc.jobs.web.all</t>
  </si>
  <si>
    <t>collectionsimportjobs</t>
  </si>
  <si>
    <t>collections.import.jobs.web.all</t>
  </si>
  <si>
    <t>collectionsexportjobs</t>
  </si>
  <si>
    <t>Note:</t>
  </si>
  <si>
    <t>Deploy List, By Order In: (Current Path/deploy_list_(env)_date.txt</t>
  </si>
  <si>
    <t>dev</t>
  </si>
  <si>
    <t>Deploy TEAM</t>
  </si>
  <si>
    <t>Excel To Import &amp; Set versions to deploy in JenkinsFiles</t>
  </si>
  <si>
    <t>1.23.1</t>
  </si>
  <si>
    <t>5.77.0</t>
  </si>
  <si>
    <t>5.16.0</t>
  </si>
  <si>
    <t>5.76.0</t>
  </si>
  <si>
    <t>5.67.0</t>
  </si>
  <si>
    <t>5.62.0</t>
  </si>
  <si>
    <t>5.63.0</t>
  </si>
  <si>
    <t>5.56.0</t>
  </si>
  <si>
    <t>5.39.0</t>
  </si>
  <si>
    <t>5.38.0</t>
  </si>
  <si>
    <t>5.58.0</t>
  </si>
  <si>
    <t>5.36.0</t>
  </si>
  <si>
    <t>1.77.0</t>
  </si>
  <si>
    <t>1.54.0</t>
  </si>
  <si>
    <t>1.29.0</t>
  </si>
  <si>
    <t>1.34.0</t>
  </si>
  <si>
    <t>1.11.0</t>
  </si>
  <si>
    <t>5.8.0</t>
  </si>
  <si>
    <t>5.18.0</t>
  </si>
  <si>
    <t>1.16.0</t>
  </si>
  <si>
    <t>jobsgts</t>
  </si>
  <si>
    <t>global</t>
  </si>
  <si>
    <t>1.24.0</t>
  </si>
  <si>
    <t>C:\Users\x803139\OneDrive - Santander Office 365\Documentos\1.24.0.xlsx</t>
  </si>
  <si>
    <t>5.79.0</t>
  </si>
  <si>
    <t>5.17.0</t>
  </si>
  <si>
    <t>1.14.0</t>
  </si>
  <si>
    <t>5.78.0</t>
  </si>
  <si>
    <t>5.40.0</t>
  </si>
  <si>
    <t>5.52.0</t>
  </si>
  <si>
    <t>1.78.0</t>
  </si>
  <si>
    <t>1.75.0</t>
  </si>
  <si>
    <t>1.55.0</t>
  </si>
  <si>
    <t>1.35.0</t>
  </si>
  <si>
    <t>1.12.0</t>
  </si>
  <si>
    <t>5.65.0</t>
  </si>
  <si>
    <t>5.69.0</t>
  </si>
  <si>
    <t>5.9.0</t>
  </si>
  <si>
    <t>5.19.0</t>
  </si>
  <si>
    <t>5.6.0</t>
  </si>
  <si>
    <t>5.13.0</t>
  </si>
  <si>
    <t>5.7.0</t>
  </si>
  <si>
    <t>1.17.0</t>
  </si>
  <si>
    <t>automaticprocessesjob</t>
  </si>
  <si>
    <t>5.78.1</t>
  </si>
  <si>
    <t>1.24.1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</si>
</sst>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Arial"/>
      <family val="2"/>
    </font>
    <font>
      <sz val="8"/>
      <color rgb="FF000000"/>
      <name val="Arial"/>
      <family val="2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Arial"/>
      <family val="2"/>
    </font>
    <font>
      <sz val="10"/>
      <color theme="1"/>
      <name val="Arial"/>
      <family val="2"/>
    </font>
    <font>
      <b/>
      <sz val="10"/>
      <color rgb="FFFFFFFF"/>
      <name val="Arial"/>
      <family val="2"/>
    </font>
    <font>
      <sz val="11"/>
      <color rgb="FF000000"/>
      <name val="Calibri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u/>
      <sz val="10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b/>
      <i/>
      <u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u/>
      <sz val="12"/>
      <color rgb="FF1155CC"/>
      <name val="Arial"/>
      <family val="2"/>
    </font>
    <font>
      <b/>
      <sz val="8"/>
      <color rgb="FFFFFFFF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b/>
      <u val="double"/>
      <sz val="11"/>
      <color theme="1"/>
      <name val="Calibri"/>
      <family val="2"/>
      <scheme val="minor"/>
    </font>
    <font>
      <b/>
      <u val="double"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u val="double"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b/>
      <sz val="11"/>
      <color rgb="FF000000"/>
      <name val="Calibri"/>
      <family val="2"/>
    </font>
    <font>
      <b/>
      <i/>
      <sz val="12"/>
      <color theme="1"/>
      <name val="Calibri"/>
      <family val="2"/>
      <scheme val="minor"/>
    </font>
    <font>
      <b/>
      <i/>
      <u/>
      <sz val="12"/>
      <color theme="1"/>
      <name val="Calibri"/>
      <family val="2"/>
      <scheme val="minor"/>
    </font>
    <font>
      <b/>
      <u/>
      <sz val="14"/>
      <color rgb="FF000000"/>
      <name val="Calibri"/>
      <family val="2"/>
    </font>
  </fonts>
  <fills count="21">
    <fill>
      <patternFill patternType="none"/>
    </fill>
    <fill>
      <patternFill patternType="gray125"/>
    </fill>
    <fill>
      <patternFill patternType="solid">
        <fgColor rgb="FF999999"/>
        <bgColor rgb="FF999999"/>
      </patternFill>
    </fill>
    <fill>
      <patternFill patternType="solid">
        <fgColor rgb="FFE6B8AF"/>
        <bgColor rgb="FFE6B8AF"/>
      </patternFill>
    </fill>
    <fill>
      <patternFill patternType="solid">
        <fgColor rgb="FFFFF2CC"/>
        <bgColor rgb="FFFFF2CC"/>
      </patternFill>
    </fill>
    <fill>
      <patternFill patternType="solid">
        <fgColor rgb="FFC9DAF8"/>
        <bgColor rgb="FFC9DAF8"/>
      </patternFill>
    </fill>
    <fill>
      <patternFill patternType="solid">
        <fgColor rgb="FFD9D2E9"/>
        <bgColor rgb="FFD9D2E9"/>
      </patternFill>
    </fill>
    <fill>
      <patternFill patternType="solid">
        <fgColor rgb="FFB7E1CD"/>
        <bgColor rgb="FFB7E1CD"/>
      </patternFill>
    </fill>
    <fill>
      <patternFill patternType="solid">
        <fgColor rgb="FFF4CCCC"/>
        <bgColor rgb="FFF4CCCC"/>
      </patternFill>
    </fill>
    <fill>
      <patternFill patternType="solid">
        <fgColor rgb="FFEFEFEF"/>
        <bgColor rgb="FFEFEFEF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rgb="FFE6B8AF"/>
      </patternFill>
    </fill>
    <fill>
      <patternFill patternType="solid">
        <fgColor theme="0" tint="-0.249977111117893"/>
        <bgColor rgb="FFFFF2CC"/>
      </patternFill>
    </fill>
    <fill>
      <patternFill patternType="solid">
        <fgColor theme="0" tint="-0.249977111117893"/>
        <bgColor rgb="FFC9DAF8"/>
      </patternFill>
    </fill>
    <fill>
      <patternFill patternType="solid">
        <fgColor theme="0" tint="-0.249977111117893"/>
        <bgColor rgb="FFD9D2E9"/>
      </patternFill>
    </fill>
    <fill>
      <patternFill patternType="solid">
        <fgColor theme="0" tint="-0.249977111117893"/>
        <bgColor rgb="FFB7E1CD"/>
      </patternFill>
    </fill>
    <fill>
      <patternFill patternType="solid">
        <fgColor theme="0" tint="-0.249977111117893"/>
        <bgColor rgb="FFF4CCCC"/>
      </patternFill>
    </fill>
    <fill>
      <patternFill patternType="solid">
        <fgColor theme="0" tint="-0.249977111117893"/>
        <bgColor rgb="FFEFEFEF"/>
      </patternFill>
    </fill>
    <fill>
      <patternFill patternType="solid">
        <fgColor theme="0" tint="-0.14999847407452621"/>
        <bgColor rgb="FFFFF2CC"/>
      </patternFill>
    </fill>
    <fill>
      <patternFill patternType="solid">
        <fgColor rgb="FFFF0000"/>
        <bgColor indexed="64"/>
      </patternFill>
    </fill>
  </fills>
  <borders count="52">
    <border>
      <left/>
      <right/>
      <top/>
      <bottom/>
      <diagonal/>
    </border>
    <border>
      <left style="thick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medium">
        <color indexed="64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/>
      <top style="medium">
        <color indexed="64"/>
      </top>
      <bottom style="medium">
        <color indexed="64"/>
      </bottom>
      <diagonal/>
    </border>
    <border>
      <left style="thick">
        <color rgb="FF000000"/>
      </left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/>
      <diagonal/>
    </border>
    <border>
      <left style="thick">
        <color rgb="FF000000"/>
      </left>
      <right style="thin">
        <color rgb="FF000000"/>
      </right>
      <top style="medium">
        <color indexed="64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rgb="FF000000"/>
      </left>
      <right/>
      <top style="thick">
        <color rgb="FF000000"/>
      </top>
      <bottom/>
      <diagonal/>
    </border>
    <border>
      <left style="thin">
        <color rgb="FF000000"/>
      </left>
      <right style="thin">
        <color rgb="FF000000"/>
      </right>
      <top style="thick">
        <color rgb="FF000000"/>
      </top>
      <bottom style="thin">
        <color rgb="FF000000"/>
      </bottom>
      <diagonal/>
    </border>
    <border>
      <left style="thin">
        <color rgb="FF000000"/>
      </left>
      <right/>
      <top style="thick">
        <color rgb="FF000000"/>
      </top>
      <bottom style="thin">
        <color rgb="FF000000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</borders>
  <cellStyleXfs count="1">
    <xf numFmtId="0" fontId="0" fillId="0" borderId="0"/>
  </cellStyleXfs>
  <cellXfs count="174">
    <xf numFmtId="0" fontId="0" fillId="0" borderId="0" xfId="0"/>
    <xf numFmtId="0" fontId="2" fillId="3" borderId="3" xfId="0" applyFont="1" applyFill="1" applyBorder="1" applyAlignment="1"/>
    <xf numFmtId="49" fontId="2" fillId="3" borderId="3" xfId="0" applyNumberFormat="1" applyFont="1" applyFill="1" applyBorder="1" applyAlignment="1">
      <alignment horizontal="center"/>
    </xf>
    <xf numFmtId="0" fontId="2" fillId="4" borderId="3" xfId="0" applyFont="1" applyFill="1" applyBorder="1" applyAlignment="1"/>
    <xf numFmtId="49" fontId="2" fillId="4" borderId="3" xfId="0" applyNumberFormat="1" applyFont="1" applyFill="1" applyBorder="1" applyAlignment="1">
      <alignment horizontal="center"/>
    </xf>
    <xf numFmtId="0" fontId="2" fillId="5" borderId="3" xfId="0" applyFont="1" applyFill="1" applyBorder="1" applyAlignment="1"/>
    <xf numFmtId="49" fontId="2" fillId="5" borderId="3" xfId="0" applyNumberFormat="1" applyFont="1" applyFill="1" applyBorder="1" applyAlignment="1">
      <alignment horizontal="center"/>
    </xf>
    <xf numFmtId="0" fontId="2" fillId="6" borderId="3" xfId="0" applyFont="1" applyFill="1" applyBorder="1" applyAlignment="1">
      <alignment horizontal="center" vertical="center"/>
    </xf>
    <xf numFmtId="0" fontId="2" fillId="6" borderId="3" xfId="0" applyFont="1" applyFill="1" applyBorder="1" applyAlignment="1"/>
    <xf numFmtId="49" fontId="2" fillId="6" borderId="3" xfId="0" applyNumberFormat="1" applyFont="1" applyFill="1" applyBorder="1" applyAlignment="1">
      <alignment horizontal="center"/>
    </xf>
    <xf numFmtId="0" fontId="2" fillId="7" borderId="3" xfId="0" applyFont="1" applyFill="1" applyBorder="1" applyAlignment="1">
      <alignment horizontal="center" vertical="center"/>
    </xf>
    <xf numFmtId="49" fontId="2" fillId="7" borderId="3" xfId="0" applyNumberFormat="1" applyFont="1" applyFill="1" applyBorder="1" applyAlignment="1">
      <alignment horizontal="center"/>
    </xf>
    <xf numFmtId="0" fontId="2" fillId="8" borderId="7" xfId="0" applyFont="1" applyFill="1" applyBorder="1" applyAlignment="1">
      <alignment horizontal="center" vertical="center"/>
    </xf>
    <xf numFmtId="0" fontId="2" fillId="8" borderId="3" xfId="0" applyFont="1" applyFill="1" applyBorder="1" applyAlignment="1"/>
    <xf numFmtId="49" fontId="2" fillId="8" borderId="3" xfId="0" applyNumberFormat="1" applyFont="1" applyFill="1" applyBorder="1" applyAlignment="1">
      <alignment horizontal="center"/>
    </xf>
    <xf numFmtId="0" fontId="2" fillId="8" borderId="3" xfId="0" applyFont="1" applyFill="1" applyBorder="1" applyAlignment="1">
      <alignment horizontal="center"/>
    </xf>
    <xf numFmtId="0" fontId="4" fillId="8" borderId="3" xfId="0" applyFont="1" applyFill="1" applyBorder="1" applyAlignment="1">
      <alignment horizontal="left"/>
    </xf>
    <xf numFmtId="49" fontId="5" fillId="8" borderId="3" xfId="0" applyNumberFormat="1" applyFont="1" applyFill="1" applyBorder="1" applyAlignment="1">
      <alignment horizontal="center" vertical="center"/>
    </xf>
    <xf numFmtId="0" fontId="4" fillId="8" borderId="3" xfId="0" applyFont="1" applyFill="1" applyBorder="1" applyAlignment="1">
      <alignment horizontal="center"/>
    </xf>
    <xf numFmtId="0" fontId="1" fillId="0" borderId="9" xfId="0" applyFont="1" applyBorder="1"/>
    <xf numFmtId="0" fontId="1" fillId="0" borderId="11" xfId="0" applyFont="1" applyBorder="1"/>
    <xf numFmtId="0" fontId="1" fillId="10" borderId="12" xfId="0" applyFont="1" applyFill="1" applyBorder="1" applyAlignment="1">
      <alignment horizontal="center"/>
    </xf>
    <xf numFmtId="0" fontId="1" fillId="0" borderId="14" xfId="0" applyFont="1" applyBorder="1"/>
    <xf numFmtId="14" fontId="1" fillId="0" borderId="0" xfId="0" applyNumberFormat="1" applyFont="1" applyBorder="1"/>
    <xf numFmtId="0" fontId="2" fillId="12" borderId="2" xfId="0" applyFont="1" applyFill="1" applyBorder="1" applyAlignment="1">
      <alignment horizontal="center" vertical="center"/>
    </xf>
    <xf numFmtId="0" fontId="7" fillId="13" borderId="2" xfId="0" applyFont="1" applyFill="1" applyBorder="1" applyAlignment="1">
      <alignment horizontal="center" vertical="center"/>
    </xf>
    <xf numFmtId="0" fontId="2" fillId="13" borderId="2" xfId="0" applyFont="1" applyFill="1" applyBorder="1" applyAlignment="1">
      <alignment horizontal="center" vertical="center"/>
    </xf>
    <xf numFmtId="0" fontId="2" fillId="14" borderId="2" xfId="0" applyFont="1" applyFill="1" applyBorder="1" applyAlignment="1">
      <alignment horizontal="center" vertical="center"/>
    </xf>
    <xf numFmtId="0" fontId="2" fillId="14" borderId="2" xfId="0" applyFont="1" applyFill="1" applyBorder="1" applyAlignment="1">
      <alignment horizontal="center" vertical="center" wrapText="1"/>
    </xf>
    <xf numFmtId="0" fontId="2" fillId="15" borderId="3" xfId="0" applyFont="1" applyFill="1" applyBorder="1" applyAlignment="1">
      <alignment horizontal="center" vertical="center"/>
    </xf>
    <xf numFmtId="0" fontId="2" fillId="16" borderId="3" xfId="0" applyFont="1" applyFill="1" applyBorder="1" applyAlignment="1">
      <alignment horizontal="center" vertical="center"/>
    </xf>
    <xf numFmtId="0" fontId="2" fillId="17" borderId="7" xfId="0" applyFont="1" applyFill="1" applyBorder="1" applyAlignment="1">
      <alignment horizontal="center" vertical="center"/>
    </xf>
    <xf numFmtId="0" fontId="2" fillId="17" borderId="3" xfId="0" applyFont="1" applyFill="1" applyBorder="1" applyAlignment="1">
      <alignment horizontal="center"/>
    </xf>
    <xf numFmtId="0" fontId="4" fillId="17" borderId="3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2" fillId="5" borderId="3" xfId="0" applyFont="1" applyFill="1" applyBorder="1" applyAlignment="1">
      <alignment horizontal="center"/>
    </xf>
    <xf numFmtId="0" fontId="2" fillId="6" borderId="3" xfId="0" applyFont="1" applyFill="1" applyBorder="1" applyAlignment="1">
      <alignment horizontal="center"/>
    </xf>
    <xf numFmtId="0" fontId="2" fillId="8" borderId="2" xfId="0" applyFont="1" applyFill="1" applyBorder="1" applyAlignment="1">
      <alignment horizontal="center"/>
    </xf>
    <xf numFmtId="0" fontId="2" fillId="17" borderId="2" xfId="0" applyFont="1" applyFill="1" applyBorder="1" applyAlignment="1">
      <alignment horizontal="center"/>
    </xf>
    <xf numFmtId="0" fontId="2" fillId="8" borderId="2" xfId="0" applyFont="1" applyFill="1" applyBorder="1" applyAlignment="1"/>
    <xf numFmtId="49" fontId="5" fillId="8" borderId="2" xfId="0" applyNumberFormat="1" applyFont="1" applyFill="1" applyBorder="1" applyAlignment="1">
      <alignment horizontal="center" vertical="center"/>
    </xf>
    <xf numFmtId="0" fontId="6" fillId="9" borderId="18" xfId="0" applyFont="1" applyFill="1" applyBorder="1" applyAlignment="1">
      <alignment horizontal="center" vertical="center"/>
    </xf>
    <xf numFmtId="0" fontId="6" fillId="18" borderId="18" xfId="0" applyFont="1" applyFill="1" applyBorder="1" applyAlignment="1">
      <alignment horizontal="center" vertical="center"/>
    </xf>
    <xf numFmtId="0" fontId="5" fillId="9" borderId="18" xfId="0" applyFont="1" applyFill="1" applyBorder="1" applyAlignment="1">
      <alignment horizontal="left" vertical="center"/>
    </xf>
    <xf numFmtId="0" fontId="5" fillId="9" borderId="18" xfId="0" applyFont="1" applyFill="1" applyBorder="1" applyAlignment="1">
      <alignment horizontal="center" vertical="center"/>
    </xf>
    <xf numFmtId="49" fontId="2" fillId="9" borderId="18" xfId="0" applyNumberFormat="1" applyFont="1" applyFill="1" applyBorder="1" applyAlignment="1">
      <alignment horizontal="center"/>
    </xf>
    <xf numFmtId="0" fontId="6" fillId="9" borderId="20" xfId="0" applyFont="1" applyFill="1" applyBorder="1" applyAlignment="1">
      <alignment horizontal="center" vertical="center"/>
    </xf>
    <xf numFmtId="0" fontId="6" fillId="18" borderId="20" xfId="0" applyFont="1" applyFill="1" applyBorder="1" applyAlignment="1">
      <alignment horizontal="center" vertical="center"/>
    </xf>
    <xf numFmtId="0" fontId="5" fillId="9" borderId="20" xfId="0" applyFont="1" applyFill="1" applyBorder="1" applyAlignment="1">
      <alignment horizontal="left" vertical="center"/>
    </xf>
    <xf numFmtId="0" fontId="5" fillId="9" borderId="20" xfId="0" applyFont="1" applyFill="1" applyBorder="1" applyAlignment="1">
      <alignment horizontal="center" vertical="center"/>
    </xf>
    <xf numFmtId="49" fontId="2" fillId="9" borderId="20" xfId="0" applyNumberFormat="1" applyFont="1" applyFill="1" applyBorder="1" applyAlignment="1">
      <alignment horizontal="center"/>
    </xf>
    <xf numFmtId="0" fontId="0" fillId="0" borderId="21" xfId="0" applyBorder="1"/>
    <xf numFmtId="0" fontId="0" fillId="0" borderId="22" xfId="0" applyBorder="1"/>
    <xf numFmtId="0" fontId="0" fillId="0" borderId="24" xfId="0" applyBorder="1"/>
    <xf numFmtId="0" fontId="0" fillId="0" borderId="25" xfId="0" applyBorder="1"/>
    <xf numFmtId="0" fontId="2" fillId="12" borderId="16" xfId="0" applyFont="1" applyFill="1" applyBorder="1" applyAlignment="1">
      <alignment horizontal="center" vertical="center"/>
    </xf>
    <xf numFmtId="0" fontId="2" fillId="3" borderId="5" xfId="0" applyFont="1" applyFill="1" applyBorder="1" applyAlignment="1"/>
    <xf numFmtId="49" fontId="2" fillId="3" borderId="5" xfId="0" applyNumberFormat="1" applyFont="1" applyFill="1" applyBorder="1" applyAlignment="1">
      <alignment horizontal="center"/>
    </xf>
    <xf numFmtId="0" fontId="0" fillId="0" borderId="27" xfId="0" applyBorder="1"/>
    <xf numFmtId="0" fontId="9" fillId="2" borderId="28" xfId="0" applyFont="1" applyFill="1" applyBorder="1" applyAlignment="1">
      <alignment horizontal="center" vertical="center"/>
    </xf>
    <xf numFmtId="0" fontId="9" fillId="2" borderId="29" xfId="0" applyFont="1" applyFill="1" applyBorder="1" applyAlignment="1">
      <alignment horizontal="center" vertical="center"/>
    </xf>
    <xf numFmtId="49" fontId="9" fillId="2" borderId="29" xfId="0" applyNumberFormat="1" applyFont="1" applyFill="1" applyBorder="1" applyAlignment="1">
      <alignment horizontal="center" vertical="center"/>
    </xf>
    <xf numFmtId="0" fontId="9" fillId="2" borderId="13" xfId="0" applyFont="1" applyFill="1" applyBorder="1" applyAlignment="1">
      <alignment horizontal="center" vertical="center"/>
    </xf>
    <xf numFmtId="14" fontId="1" fillId="0" borderId="10" xfId="0" applyNumberFormat="1" applyFont="1" applyBorder="1" applyAlignment="1">
      <alignment horizontal="center"/>
    </xf>
    <xf numFmtId="0" fontId="1" fillId="11" borderId="13" xfId="0" applyFont="1" applyFill="1" applyBorder="1" applyAlignment="1">
      <alignment horizontal="center" vertical="center"/>
    </xf>
    <xf numFmtId="0" fontId="7" fillId="3" borderId="3" xfId="0" applyFont="1" applyFill="1" applyBorder="1" applyAlignment="1">
      <alignment horizontal="center"/>
    </xf>
    <xf numFmtId="0" fontId="1" fillId="0" borderId="0" xfId="0" applyFont="1" applyFill="1" applyBorder="1"/>
    <xf numFmtId="0" fontId="1" fillId="11" borderId="36" xfId="0" applyFont="1" applyFill="1" applyBorder="1" applyAlignment="1">
      <alignment horizontal="center" vertical="center"/>
    </xf>
    <xf numFmtId="0" fontId="11" fillId="2" borderId="30" xfId="0" applyFont="1" applyFill="1" applyBorder="1" applyAlignment="1">
      <alignment horizontal="center" vertical="center"/>
    </xf>
    <xf numFmtId="0" fontId="12" fillId="3" borderId="26" xfId="0" applyFont="1" applyFill="1" applyBorder="1" applyAlignment="1">
      <alignment horizontal="center"/>
    </xf>
    <xf numFmtId="0" fontId="12" fillId="3" borderId="15" xfId="0" applyFont="1" applyFill="1" applyBorder="1" applyAlignment="1">
      <alignment horizontal="center"/>
    </xf>
    <xf numFmtId="0" fontId="12" fillId="4" borderId="15" xfId="0" applyFont="1" applyFill="1" applyBorder="1" applyAlignment="1">
      <alignment horizontal="center"/>
    </xf>
    <xf numFmtId="0" fontId="12" fillId="5" borderId="15" xfId="0" applyFont="1" applyFill="1" applyBorder="1" applyAlignment="1">
      <alignment horizontal="center"/>
    </xf>
    <xf numFmtId="0" fontId="12" fillId="6" borderId="15" xfId="0" applyFont="1" applyFill="1" applyBorder="1" applyAlignment="1">
      <alignment horizontal="center"/>
    </xf>
    <xf numFmtId="0" fontId="12" fillId="8" borderId="15" xfId="0" applyFont="1" applyFill="1" applyBorder="1" applyAlignment="1">
      <alignment horizontal="center"/>
    </xf>
    <xf numFmtId="0" fontId="12" fillId="8" borderId="8" xfId="0" applyFont="1" applyFill="1" applyBorder="1" applyAlignment="1">
      <alignment horizontal="center"/>
    </xf>
    <xf numFmtId="0" fontId="12" fillId="8" borderId="23" xfId="0" applyFont="1" applyFill="1" applyBorder="1" applyAlignment="1">
      <alignment horizontal="center"/>
    </xf>
    <xf numFmtId="0" fontId="13" fillId="9" borderId="18" xfId="0" applyFont="1" applyFill="1" applyBorder="1" applyAlignment="1">
      <alignment horizontal="center" vertical="center"/>
    </xf>
    <xf numFmtId="0" fontId="13" fillId="9" borderId="20" xfId="0" applyFont="1" applyFill="1" applyBorder="1" applyAlignment="1">
      <alignment horizontal="center" vertical="center"/>
    </xf>
    <xf numFmtId="0" fontId="14" fillId="0" borderId="0" xfId="0" applyFont="1"/>
    <xf numFmtId="14" fontId="15" fillId="0" borderId="0" xfId="0" applyNumberFormat="1" applyFont="1"/>
    <xf numFmtId="0" fontId="15" fillId="0" borderId="0" xfId="0" applyFont="1"/>
    <xf numFmtId="0" fontId="16" fillId="0" borderId="0" xfId="0" applyFont="1"/>
    <xf numFmtId="14" fontId="17" fillId="0" borderId="0" xfId="0" applyNumberFormat="1" applyFont="1"/>
    <xf numFmtId="0" fontId="17" fillId="0" borderId="0" xfId="0" applyFont="1"/>
    <xf numFmtId="0" fontId="18" fillId="0" borderId="0" xfId="0" applyFont="1"/>
    <xf numFmtId="14" fontId="15" fillId="0" borderId="0" xfId="0" applyNumberFormat="1" applyFont="1" applyAlignment="1">
      <alignment horizontal="center"/>
    </xf>
    <xf numFmtId="0" fontId="15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7" fillId="19" borderId="3" xfId="0" applyFont="1" applyFill="1" applyBorder="1" applyAlignment="1">
      <alignment horizontal="center"/>
    </xf>
    <xf numFmtId="0" fontId="18" fillId="0" borderId="35" xfId="0" applyNumberFormat="1" applyFont="1" applyBorder="1"/>
    <xf numFmtId="14" fontId="17" fillId="0" borderId="0" xfId="0" applyNumberFormat="1" applyFont="1" applyBorder="1"/>
    <xf numFmtId="0" fontId="17" fillId="0" borderId="0" xfId="0" applyFont="1" applyBorder="1"/>
    <xf numFmtId="0" fontId="17" fillId="19" borderId="34" xfId="0" applyFont="1" applyFill="1" applyBorder="1" applyAlignment="1">
      <alignment horizontal="center"/>
    </xf>
    <xf numFmtId="0" fontId="17" fillId="0" borderId="0" xfId="0" applyFont="1" applyAlignment="1">
      <alignment horizontal="center"/>
    </xf>
    <xf numFmtId="0" fontId="17" fillId="0" borderId="8" xfId="0" applyFont="1" applyBorder="1" applyAlignment="1">
      <alignment horizontal="center"/>
    </xf>
    <xf numFmtId="0" fontId="17" fillId="0" borderId="0" xfId="0" applyFont="1" applyBorder="1" applyAlignment="1">
      <alignment horizontal="center"/>
    </xf>
    <xf numFmtId="0" fontId="1" fillId="0" borderId="0" xfId="0" applyFont="1"/>
    <xf numFmtId="0" fontId="19" fillId="0" borderId="0" xfId="0" applyFont="1"/>
    <xf numFmtId="0" fontId="20" fillId="0" borderId="0" xfId="0" applyFont="1"/>
    <xf numFmtId="0" fontId="1" fillId="0" borderId="13" xfId="0" applyFont="1" applyFill="1" applyBorder="1"/>
    <xf numFmtId="0" fontId="20" fillId="10" borderId="0" xfId="0" applyFont="1" applyFill="1"/>
    <xf numFmtId="0" fontId="22" fillId="2" borderId="39" xfId="0" applyFont="1" applyFill="1" applyBorder="1" applyAlignment="1">
      <alignment horizontal="center" vertical="center"/>
    </xf>
    <xf numFmtId="0" fontId="22" fillId="2" borderId="40" xfId="0" applyFont="1" applyFill="1" applyBorder="1" applyAlignment="1">
      <alignment horizontal="center"/>
    </xf>
    <xf numFmtId="49" fontId="22" fillId="2" borderId="40" xfId="0" applyNumberFormat="1" applyFont="1" applyFill="1" applyBorder="1" applyAlignment="1">
      <alignment horizontal="center"/>
    </xf>
    <xf numFmtId="49" fontId="22" fillId="2" borderId="41" xfId="0" applyNumberFormat="1" applyFont="1" applyFill="1" applyBorder="1" applyAlignment="1">
      <alignment horizontal="center"/>
    </xf>
    <xf numFmtId="49" fontId="7" fillId="6" borderId="3" xfId="0" applyNumberFormat="1" applyFont="1" applyFill="1" applyBorder="1" applyAlignment="1">
      <alignment horizontal="center"/>
    </xf>
    <xf numFmtId="49" fontId="7" fillId="8" borderId="3" xfId="0" applyNumberFormat="1" applyFont="1" applyFill="1" applyBorder="1" applyAlignment="1">
      <alignment horizontal="center"/>
    </xf>
    <xf numFmtId="49" fontId="7" fillId="7" borderId="3" xfId="0" applyNumberFormat="1" applyFont="1" applyFill="1" applyBorder="1" applyAlignment="1">
      <alignment horizontal="center"/>
    </xf>
    <xf numFmtId="0" fontId="24" fillId="0" borderId="35" xfId="0" applyNumberFormat="1" applyFont="1" applyBorder="1"/>
    <xf numFmtId="0" fontId="23" fillId="0" borderId="8" xfId="0" applyFont="1" applyBorder="1" applyAlignment="1">
      <alignment horizontal="center"/>
    </xf>
    <xf numFmtId="14" fontId="23" fillId="0" borderId="0" xfId="0" applyNumberFormat="1" applyFont="1" applyBorder="1"/>
    <xf numFmtId="0" fontId="23" fillId="0" borderId="0" xfId="0" applyFont="1" applyBorder="1"/>
    <xf numFmtId="0" fontId="23" fillId="0" borderId="0" xfId="0" applyFont="1" applyBorder="1" applyAlignment="1">
      <alignment horizontal="center"/>
    </xf>
    <xf numFmtId="0" fontId="23" fillId="19" borderId="34" xfId="0" applyFont="1" applyFill="1" applyBorder="1" applyAlignment="1">
      <alignment horizontal="center"/>
    </xf>
    <xf numFmtId="49" fontId="7" fillId="5" borderId="3" xfId="0" applyNumberFormat="1" applyFont="1" applyFill="1" applyBorder="1" applyAlignment="1">
      <alignment horizontal="center"/>
    </xf>
    <xf numFmtId="0" fontId="0" fillId="0" borderId="0" xfId="0" applyFont="1" applyAlignment="1"/>
    <xf numFmtId="0" fontId="0" fillId="10" borderId="44" xfId="0" applyFill="1" applyBorder="1"/>
    <xf numFmtId="0" fontId="0" fillId="10" borderId="45" xfId="0" applyFill="1" applyBorder="1"/>
    <xf numFmtId="0" fontId="0" fillId="10" borderId="46" xfId="0" applyFill="1" applyBorder="1"/>
    <xf numFmtId="0" fontId="0" fillId="10" borderId="47" xfId="0" applyFill="1" applyBorder="1"/>
    <xf numFmtId="0" fontId="0" fillId="10" borderId="0" xfId="0" applyFill="1" applyBorder="1"/>
    <xf numFmtId="0" fontId="0" fillId="10" borderId="48" xfId="0" applyFill="1" applyBorder="1"/>
    <xf numFmtId="0" fontId="0" fillId="10" borderId="49" xfId="0" applyFill="1" applyBorder="1"/>
    <xf numFmtId="0" fontId="0" fillId="10" borderId="50" xfId="0" applyFill="1" applyBorder="1"/>
    <xf numFmtId="0" fontId="0" fillId="10" borderId="51" xfId="0" applyFill="1" applyBorder="1"/>
    <xf numFmtId="0" fontId="25" fillId="0" borderId="0" xfId="0" applyFont="1"/>
    <xf numFmtId="0" fontId="27" fillId="0" borderId="0" xfId="0" applyFont="1"/>
    <xf numFmtId="0" fontId="26" fillId="10" borderId="28" xfId="0" applyFont="1" applyFill="1" applyBorder="1" applyAlignment="1">
      <alignment vertical="center"/>
    </xf>
    <xf numFmtId="0" fontId="27" fillId="10" borderId="37" xfId="0" applyFont="1" applyFill="1" applyBorder="1" applyAlignment="1">
      <alignment vertical="center"/>
    </xf>
    <xf numFmtId="0" fontId="27" fillId="10" borderId="38" xfId="0" applyFont="1" applyFill="1" applyBorder="1" applyAlignment="1">
      <alignment vertical="center"/>
    </xf>
    <xf numFmtId="0" fontId="32" fillId="0" borderId="35" xfId="0" applyNumberFormat="1" applyFont="1" applyBorder="1"/>
    <xf numFmtId="0" fontId="31" fillId="0" borderId="8" xfId="0" applyFont="1" applyBorder="1" applyAlignment="1">
      <alignment horizontal="center"/>
    </xf>
    <xf numFmtId="14" fontId="31" fillId="0" borderId="0" xfId="0" applyNumberFormat="1" applyFont="1" applyBorder="1"/>
    <xf numFmtId="0" fontId="31" fillId="0" borderId="0" xfId="0" applyFont="1" applyBorder="1"/>
    <xf numFmtId="0" fontId="31" fillId="0" borderId="0" xfId="0" applyFont="1" applyBorder="1" applyAlignment="1">
      <alignment horizontal="center"/>
    </xf>
    <xf numFmtId="0" fontId="31" fillId="19" borderId="34" xfId="0" applyFont="1" applyFill="1" applyBorder="1" applyAlignment="1">
      <alignment horizontal="center"/>
    </xf>
    <xf numFmtId="0" fontId="34" fillId="0" borderId="0" xfId="0" applyFont="1"/>
    <xf numFmtId="0" fontId="35" fillId="0" borderId="0" xfId="0" applyFont="1"/>
    <xf numFmtId="0" fontId="0" fillId="0" borderId="0" xfId="0" applyFont="1" applyAlignment="1"/>
    <xf numFmtId="0" fontId="1" fillId="10" borderId="28" xfId="0" applyFont="1" applyFill="1" applyBorder="1" applyAlignment="1">
      <alignment horizontal="center"/>
    </xf>
    <xf numFmtId="0" fontId="1" fillId="10" borderId="37" xfId="0" applyFont="1" applyFill="1" applyBorder="1" applyAlignment="1">
      <alignment horizontal="center"/>
    </xf>
    <xf numFmtId="0" fontId="1" fillId="10" borderId="38" xfId="0" applyFont="1" applyFill="1" applyBorder="1" applyAlignment="1">
      <alignment horizontal="center"/>
    </xf>
    <xf numFmtId="0" fontId="30" fillId="0" borderId="28" xfId="0" applyFont="1" applyBorder="1" applyAlignment="1">
      <alignment horizontal="center"/>
    </xf>
    <xf numFmtId="0" fontId="30" fillId="0" borderId="37" xfId="0" applyFont="1" applyBorder="1" applyAlignment="1">
      <alignment horizontal="center"/>
    </xf>
    <xf numFmtId="0" fontId="30" fillId="0" borderId="38" xfId="0" applyFont="1" applyBorder="1" applyAlignment="1">
      <alignment horizontal="center"/>
    </xf>
    <xf numFmtId="0" fontId="28" fillId="20" borderId="9" xfId="0" applyFont="1" applyFill="1" applyBorder="1" applyAlignment="1">
      <alignment horizontal="center" vertical="center"/>
    </xf>
    <xf numFmtId="0" fontId="28" fillId="20" borderId="42" xfId="0" applyFont="1" applyFill="1" applyBorder="1" applyAlignment="1">
      <alignment horizontal="center" vertical="center"/>
    </xf>
    <xf numFmtId="0" fontId="28" fillId="20" borderId="10" xfId="0" applyFont="1" applyFill="1" applyBorder="1" applyAlignment="1">
      <alignment horizontal="center" vertical="center"/>
    </xf>
    <xf numFmtId="0" fontId="29" fillId="20" borderId="11" xfId="0" applyFont="1" applyFill="1" applyBorder="1" applyAlignment="1">
      <alignment horizontal="center" vertical="center"/>
    </xf>
    <xf numFmtId="0" fontId="29" fillId="20" borderId="43" xfId="0" applyFont="1" applyFill="1" applyBorder="1" applyAlignment="1">
      <alignment horizontal="center" vertical="center"/>
    </xf>
    <xf numFmtId="0" fontId="29" fillId="20" borderId="12" xfId="0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3" fillId="0" borderId="6" xfId="0" applyFont="1" applyBorder="1"/>
    <xf numFmtId="0" fontId="3" fillId="0" borderId="4" xfId="0" applyFont="1" applyBorder="1"/>
    <xf numFmtId="0" fontId="2" fillId="8" borderId="1" xfId="0" applyFont="1" applyFill="1" applyBorder="1" applyAlignment="1">
      <alignment horizontal="center" vertical="center"/>
    </xf>
    <xf numFmtId="0" fontId="3" fillId="0" borderId="31" xfId="0" applyFont="1" applyBorder="1"/>
    <xf numFmtId="0" fontId="8" fillId="9" borderId="17" xfId="0" applyFont="1" applyFill="1" applyBorder="1" applyAlignment="1">
      <alignment horizontal="center" vertical="center" wrapText="1"/>
    </xf>
    <xf numFmtId="0" fontId="3" fillId="0" borderId="19" xfId="0" applyFont="1" applyBorder="1"/>
    <xf numFmtId="0" fontId="2" fillId="5" borderId="1" xfId="0" applyFont="1" applyFill="1" applyBorder="1" applyAlignment="1">
      <alignment horizontal="center" vertical="center"/>
    </xf>
    <xf numFmtId="0" fontId="7" fillId="5" borderId="2" xfId="0" applyFont="1" applyFill="1" applyBorder="1" applyAlignment="1">
      <alignment horizontal="center" vertical="center"/>
    </xf>
    <xf numFmtId="0" fontId="3" fillId="0" borderId="5" xfId="0" applyFont="1" applyBorder="1"/>
    <xf numFmtId="0" fontId="2" fillId="5" borderId="2" xfId="0" applyFont="1" applyFill="1" applyBorder="1" applyAlignment="1">
      <alignment horizontal="center" vertical="center"/>
    </xf>
    <xf numFmtId="0" fontId="2" fillId="5" borderId="2" xfId="0" applyFont="1" applyFill="1" applyBorder="1" applyAlignment="1">
      <alignment horizontal="center" vertical="center" wrapText="1"/>
    </xf>
    <xf numFmtId="0" fontId="21" fillId="2" borderId="0" xfId="0" applyFont="1" applyFill="1" applyAlignment="1">
      <alignment horizontal="center" vertical="center" wrapText="1"/>
    </xf>
    <xf numFmtId="0" fontId="0" fillId="0" borderId="0" xfId="0" applyFont="1" applyAlignment="1"/>
    <xf numFmtId="0" fontId="22" fillId="2" borderId="0" xfId="0" applyFont="1" applyFill="1" applyAlignment="1">
      <alignment horizontal="center"/>
    </xf>
    <xf numFmtId="0" fontId="2" fillId="3" borderId="33" xfId="0" applyFont="1" applyFill="1" applyBorder="1" applyAlignment="1">
      <alignment horizontal="center" vertical="center"/>
    </xf>
    <xf numFmtId="0" fontId="7" fillId="3" borderId="32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0" fontId="7" fillId="4" borderId="2" xfId="0" applyFont="1" applyFill="1" applyBorder="1" applyAlignment="1">
      <alignment horizontal="center" vertical="center"/>
    </xf>
  </cellXfs>
  <cellStyles count="1">
    <cellStyle name="Normal" xfId="0" builtinId="0"/>
  </cellStyles>
  <dxfs count="17">
    <dxf>
      <font>
        <strike val="0"/>
        <outline val="0"/>
        <shadow val="0"/>
        <u val="none"/>
        <vertAlign val="baseline"/>
        <sz val="12"/>
        <color theme="1"/>
        <name val="Arial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center" vertical="bottom" textRotation="0" wrapText="0" indent="0" justifyLastLine="0" shrinkToFit="0" readingOrder="0"/>
      <border outline="0">
        <left style="thin">
          <color rgb="FF000000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solid">
          <fgColor rgb="FFFFF2CC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0" formatCode="General"/>
      <border>
        <left/>
        <right style="thin">
          <color rgb="FF000000"/>
        </right>
      </border>
    </dxf>
    <dxf>
      <font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19" formatCode="dd/mm/yyyy"/>
    </dxf>
    <dxf>
      <font>
        <strike val="0"/>
        <outline val="0"/>
        <shadow val="0"/>
        <u val="none"/>
        <vertAlign val="baseline"/>
        <sz val="12"/>
        <color theme="1"/>
        <name val="Arial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B7E1CD"/>
          <bgColor rgb="FFB7E1CD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828675</xdr:colOff>
          <xdr:row>7</xdr:row>
          <xdr:rowOff>123825</xdr:rowOff>
        </xdr:from>
        <xdr:to>
          <xdr:col>3</xdr:col>
          <xdr:colOff>1104900</xdr:colOff>
          <xdr:row>9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Vers. from File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</xdr:col>
      <xdr:colOff>66675</xdr:colOff>
      <xdr:row>10</xdr:row>
      <xdr:rowOff>152401</xdr:rowOff>
    </xdr:from>
    <xdr:to>
      <xdr:col>6</xdr:col>
      <xdr:colOff>566347</xdr:colOff>
      <xdr:row>12</xdr:row>
      <xdr:rowOff>38101</xdr:rowOff>
    </xdr:to>
    <xdr:pic macro="[0]!selectFile"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15400" y="2457451"/>
          <a:ext cx="499672" cy="3429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295275</xdr:colOff>
          <xdr:row>7</xdr:row>
          <xdr:rowOff>133350</xdr:rowOff>
        </xdr:from>
        <xdr:to>
          <xdr:col>5</xdr:col>
          <xdr:colOff>304800</xdr:colOff>
          <xdr:row>9</xdr:row>
          <xdr:rowOff>19050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Proccess local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123825</xdr:colOff>
          <xdr:row>4</xdr:row>
          <xdr:rowOff>152400</xdr:rowOff>
        </xdr:from>
        <xdr:to>
          <xdr:col>10</xdr:col>
          <xdr:colOff>47625</xdr:colOff>
          <xdr:row>6</xdr:row>
          <xdr:rowOff>76200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400" b="1" i="0" u="sng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Execute Python Script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514350</xdr:colOff>
          <xdr:row>4</xdr:row>
          <xdr:rowOff>133350</xdr:rowOff>
        </xdr:from>
        <xdr:to>
          <xdr:col>11</xdr:col>
          <xdr:colOff>885825</xdr:colOff>
          <xdr:row>6</xdr:row>
          <xdr:rowOff>57150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Temp-Local Repo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</xdr:colOff>
      <xdr:row>0</xdr:row>
      <xdr:rowOff>38100</xdr:rowOff>
    </xdr:from>
    <xdr:to>
      <xdr:col>1</xdr:col>
      <xdr:colOff>142875</xdr:colOff>
      <xdr:row>2</xdr:row>
      <xdr:rowOff>238720</xdr:rowOff>
    </xdr:to>
    <xdr:pic>
      <xdr:nvPicPr>
        <xdr:cNvPr id="7" name="Imagen 6" descr="https://consultas2.oepm.es/ceo/ImagenMarcaServlet?urlMarca=http://imagensignos.oepm.local/imagenes/000498/0001903567.jp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" y="38100"/>
          <a:ext cx="1466849" cy="6292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id="1" name="Tabla1" displayName="Tabla1" ref="A37:B42" totalsRowShown="0">
  <autoFilter ref="A37:B42"/>
  <tableColumns count="2">
    <tableColumn id="1" name="Entornos:"/>
    <tableColumn id="2" name="Deploy Type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2" name="Tabla2" displayName="Tabla2" ref="A1:H203" totalsRowShown="0" headerRowDxfId="9" dataDxfId="8">
  <autoFilter ref="A1:H203"/>
  <tableColumns count="8">
    <tableColumn id="2" name="Deploy-Date" dataDxfId="7"/>
    <tableColumn id="1" name="Env" dataDxfId="6"/>
    <tableColumn id="3" name="Deploy-Type" dataDxfId="5"/>
    <tableColumn id="4" name="Vers" dataDxfId="4"/>
    <tableColumn id="5" name="Micro" dataDxfId="3">
      <calculatedColumnFormula>INDEX(Deploy!C$2:C$55, MATCH(Tabla2[[#This Row],[Artif_id]],Deploy!E$2:E$55,0))</calculatedColumnFormula>
    </tableColumn>
    <tableColumn id="8" name="Artif_id" dataDxfId="2"/>
    <tableColumn id="6" name="Micro-Vers" dataDxfId="1"/>
    <tableColumn id="7" name="Obs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jira.mercury-tfs.com/browse/SANGTS-8379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M42"/>
  <sheetViews>
    <sheetView workbookViewId="0">
      <selection activeCell="B11" sqref="B11"/>
    </sheetView>
  </sheetViews>
  <sheetFormatPr baseColWidth="10" defaultRowHeight="15" x14ac:dyDescent="0.25"/>
  <cols>
    <col min="1" max="1" width="19.85546875" customWidth="1"/>
    <col min="2" max="2" width="23.42578125" customWidth="1"/>
    <col min="3" max="3" width="18.140625" customWidth="1"/>
    <col min="4" max="4" width="26.5703125" customWidth="1"/>
    <col min="5" max="5" width="22.140625" customWidth="1"/>
    <col min="6" max="6" width="22.5703125" customWidth="1"/>
    <col min="9" max="9" width="16.85546875" customWidth="1"/>
    <col min="10" max="10" width="15.5703125" customWidth="1"/>
    <col min="11" max="11" width="18.5703125" customWidth="1"/>
    <col min="12" max="12" width="14.5703125" customWidth="1"/>
  </cols>
  <sheetData>
    <row r="1" spans="1:13" ht="16.5" thickBot="1" x14ac:dyDescent="0.3">
      <c r="I1" s="129"/>
      <c r="J1" s="129"/>
      <c r="K1" s="129"/>
      <c r="L1" s="129"/>
      <c r="M1" s="129"/>
    </row>
    <row r="2" spans="1:13" ht="17.25" customHeight="1" x14ac:dyDescent="0.25">
      <c r="I2" s="148" t="s">
        <v>199</v>
      </c>
      <c r="J2" s="149"/>
      <c r="K2" s="149"/>
      <c r="L2" s="150"/>
      <c r="M2" s="129"/>
    </row>
    <row r="3" spans="1:13" ht="19.5" customHeight="1" thickBot="1" x14ac:dyDescent="0.3">
      <c r="I3" s="151" t="s">
        <v>162</v>
      </c>
      <c r="J3" s="152"/>
      <c r="K3" s="152"/>
      <c r="L3" s="153"/>
      <c r="M3" s="129"/>
    </row>
    <row r="4" spans="1:13" ht="16.5" thickBot="1" x14ac:dyDescent="0.3">
      <c r="A4" s="139" t="s">
        <v>202</v>
      </c>
      <c r="I4" s="145" t="s">
        <v>174</v>
      </c>
      <c r="J4" s="146"/>
      <c r="K4" s="146"/>
      <c r="L4" s="147"/>
      <c r="M4" s="129"/>
    </row>
    <row r="5" spans="1:13" ht="15.75" x14ac:dyDescent="0.25">
      <c r="I5" s="129"/>
      <c r="J5" s="129"/>
      <c r="K5" s="129"/>
      <c r="L5" s="129"/>
      <c r="M5" s="129"/>
    </row>
    <row r="6" spans="1:13" ht="18" customHeight="1" x14ac:dyDescent="0.25">
      <c r="A6" s="140" t="s">
        <v>203</v>
      </c>
      <c r="I6" s="129"/>
      <c r="J6" s="129"/>
      <c r="K6" s="129"/>
      <c r="L6" s="129"/>
      <c r="M6" s="129"/>
    </row>
    <row r="7" spans="1:13" ht="18" customHeight="1" thickBot="1" x14ac:dyDescent="0.3">
      <c r="E7" s="34"/>
      <c r="I7" s="129"/>
      <c r="J7" s="129"/>
      <c r="K7" s="129"/>
      <c r="L7" s="129"/>
      <c r="M7" s="129"/>
    </row>
    <row r="8" spans="1:13" ht="24" customHeight="1" thickBot="1" x14ac:dyDescent="0.3">
      <c r="A8" s="19" t="s">
        <v>120</v>
      </c>
      <c r="B8" s="65">
        <f ca="1">TODAY()</f>
        <v>44694</v>
      </c>
      <c r="C8" s="23"/>
      <c r="E8" s="34"/>
      <c r="I8" s="130" t="s">
        <v>200</v>
      </c>
      <c r="J8" s="131"/>
      <c r="K8" s="131"/>
      <c r="L8" s="132"/>
      <c r="M8" s="129"/>
    </row>
    <row r="9" spans="1:13" ht="18" customHeight="1" thickBot="1" x14ac:dyDescent="0.3">
      <c r="A9" s="20" t="s">
        <v>78</v>
      </c>
      <c r="B9" s="21" t="s">
        <v>225</v>
      </c>
      <c r="D9" s="34"/>
      <c r="I9" s="128"/>
    </row>
    <row r="10" spans="1:13" ht="18" customHeight="1" thickBot="1" x14ac:dyDescent="0.3">
      <c r="A10" s="22" t="s">
        <v>83</v>
      </c>
      <c r="B10" s="66" t="s">
        <v>86</v>
      </c>
      <c r="D10" s="34"/>
    </row>
    <row r="11" spans="1:13" ht="18" customHeight="1" thickBot="1" x14ac:dyDescent="0.3">
      <c r="A11" s="20" t="s">
        <v>87</v>
      </c>
      <c r="B11" s="69" t="s">
        <v>249</v>
      </c>
      <c r="C11" t="s">
        <v>163</v>
      </c>
      <c r="D11" s="34"/>
    </row>
    <row r="12" spans="1:13" ht="18" customHeight="1" thickBot="1" x14ac:dyDescent="0.3">
      <c r="A12" s="102" t="s">
        <v>114</v>
      </c>
      <c r="B12" s="142" t="s">
        <v>227</v>
      </c>
      <c r="C12" s="143"/>
      <c r="D12" s="143"/>
      <c r="E12" s="143"/>
      <c r="F12" s="144"/>
    </row>
    <row r="13" spans="1:13" ht="18" customHeight="1" x14ac:dyDescent="0.25">
      <c r="A13" s="68"/>
      <c r="D13" s="34"/>
    </row>
    <row r="15" spans="1:13" x14ac:dyDescent="0.25">
      <c r="A15" s="100" t="s">
        <v>117</v>
      </c>
    </row>
    <row r="16" spans="1:13" x14ac:dyDescent="0.25">
      <c r="A16" s="100"/>
    </row>
    <row r="17" spans="1:6" ht="15.75" thickBot="1" x14ac:dyDescent="0.3">
      <c r="A17" s="101" t="s">
        <v>118</v>
      </c>
      <c r="B17" s="99"/>
    </row>
    <row r="18" spans="1:6" ht="15.75" thickTop="1" x14ac:dyDescent="0.25">
      <c r="A18" s="119" t="s">
        <v>119</v>
      </c>
      <c r="B18" s="120"/>
      <c r="C18" s="120"/>
      <c r="D18" s="120"/>
      <c r="E18" s="120"/>
      <c r="F18" s="121"/>
    </row>
    <row r="19" spans="1:6" x14ac:dyDescent="0.25">
      <c r="A19" s="122" t="s">
        <v>164</v>
      </c>
      <c r="B19" s="123"/>
      <c r="C19" s="123"/>
      <c r="D19" s="123"/>
      <c r="E19" s="123"/>
      <c r="F19" s="124"/>
    </row>
    <row r="20" spans="1:6" x14ac:dyDescent="0.25">
      <c r="A20" s="122" t="s">
        <v>121</v>
      </c>
      <c r="B20" s="123"/>
      <c r="C20" s="123"/>
      <c r="D20" s="123"/>
      <c r="E20" s="123"/>
      <c r="F20" s="124"/>
    </row>
    <row r="21" spans="1:6" x14ac:dyDescent="0.25">
      <c r="A21" s="122" t="s">
        <v>122</v>
      </c>
      <c r="B21" s="123"/>
      <c r="C21" s="123"/>
      <c r="D21" s="123"/>
      <c r="E21" s="123"/>
      <c r="F21" s="124"/>
    </row>
    <row r="22" spans="1:6" x14ac:dyDescent="0.25">
      <c r="A22" s="122" t="s">
        <v>123</v>
      </c>
      <c r="B22" s="123"/>
      <c r="C22" s="123"/>
      <c r="D22" s="123"/>
      <c r="E22" s="123"/>
      <c r="F22" s="124"/>
    </row>
    <row r="23" spans="1:6" x14ac:dyDescent="0.25">
      <c r="A23" s="122" t="s">
        <v>165</v>
      </c>
      <c r="B23" s="123"/>
      <c r="C23" s="123"/>
      <c r="D23" s="123"/>
      <c r="E23" s="123"/>
      <c r="F23" s="124"/>
    </row>
    <row r="24" spans="1:6" x14ac:dyDescent="0.25">
      <c r="A24" s="122"/>
      <c r="B24" s="123" t="s">
        <v>166</v>
      </c>
      <c r="C24" s="123"/>
      <c r="D24" s="123"/>
      <c r="E24" s="123"/>
      <c r="F24" s="124"/>
    </row>
    <row r="25" spans="1:6" x14ac:dyDescent="0.25">
      <c r="A25" s="122"/>
      <c r="B25" s="123" t="s">
        <v>167</v>
      </c>
      <c r="C25" s="123"/>
      <c r="D25" s="123"/>
      <c r="E25" s="123"/>
      <c r="F25" s="124"/>
    </row>
    <row r="26" spans="1:6" x14ac:dyDescent="0.25">
      <c r="A26" s="122"/>
      <c r="B26" s="123" t="s">
        <v>168</v>
      </c>
      <c r="C26" s="123"/>
      <c r="D26" s="123"/>
      <c r="E26" s="123"/>
      <c r="F26" s="124"/>
    </row>
    <row r="27" spans="1:6" x14ac:dyDescent="0.25">
      <c r="A27" s="122"/>
      <c r="B27" s="123" t="s">
        <v>169</v>
      </c>
      <c r="C27" s="123"/>
      <c r="D27" s="123"/>
      <c r="E27" s="123"/>
      <c r="F27" s="124"/>
    </row>
    <row r="28" spans="1:6" x14ac:dyDescent="0.25">
      <c r="A28" s="122"/>
      <c r="B28" s="123" t="s">
        <v>170</v>
      </c>
      <c r="C28" s="123"/>
      <c r="D28" s="123"/>
      <c r="E28" s="123"/>
      <c r="F28" s="124"/>
    </row>
    <row r="29" spans="1:6" x14ac:dyDescent="0.25">
      <c r="A29" s="122" t="s">
        <v>171</v>
      </c>
      <c r="B29" s="123"/>
      <c r="C29" s="123"/>
      <c r="D29" s="123"/>
      <c r="E29" s="123"/>
      <c r="F29" s="124"/>
    </row>
    <row r="30" spans="1:6" x14ac:dyDescent="0.25">
      <c r="A30" s="122" t="s">
        <v>172</v>
      </c>
      <c r="B30" s="123"/>
      <c r="C30" s="123"/>
      <c r="D30" s="123"/>
      <c r="E30" s="123"/>
      <c r="F30" s="124"/>
    </row>
    <row r="31" spans="1:6" ht="15.75" thickBot="1" x14ac:dyDescent="0.3">
      <c r="A31" s="125" t="s">
        <v>173</v>
      </c>
      <c r="B31" s="126"/>
      <c r="C31" s="126"/>
      <c r="D31" s="126"/>
      <c r="E31" s="126"/>
      <c r="F31" s="127"/>
    </row>
    <row r="32" spans="1:6" ht="15.75" thickTop="1" x14ac:dyDescent="0.25"/>
    <row r="35" spans="1:2" x14ac:dyDescent="0.25">
      <c r="A35" s="103" t="s">
        <v>124</v>
      </c>
    </row>
    <row r="37" spans="1:2" x14ac:dyDescent="0.25">
      <c r="A37" t="s">
        <v>79</v>
      </c>
      <c r="B37" t="s">
        <v>84</v>
      </c>
    </row>
    <row r="38" spans="1:2" x14ac:dyDescent="0.25">
      <c r="A38" t="s">
        <v>80</v>
      </c>
      <c r="B38" t="s">
        <v>85</v>
      </c>
    </row>
    <row r="39" spans="1:2" x14ac:dyDescent="0.25">
      <c r="A39" t="s">
        <v>81</v>
      </c>
      <c r="B39" t="s">
        <v>86</v>
      </c>
    </row>
    <row r="40" spans="1:2" x14ac:dyDescent="0.25">
      <c r="A40" t="s">
        <v>82</v>
      </c>
    </row>
    <row r="41" spans="1:2" x14ac:dyDescent="0.25">
      <c r="A41" t="s">
        <v>201</v>
      </c>
    </row>
    <row r="42" spans="1:2" x14ac:dyDescent="0.25">
      <c r="A42" t="s">
        <v>225</v>
      </c>
    </row>
  </sheetData>
  <mergeCells count="4">
    <mergeCell ref="B12:F12"/>
    <mergeCell ref="I4:L4"/>
    <mergeCell ref="I2:L2"/>
    <mergeCell ref="I3:L3"/>
  </mergeCells>
  <dataValidations count="2">
    <dataValidation type="list" allowBlank="1" showInputMessage="1" showErrorMessage="1" sqref="B9">
      <formula1>$A$38:$A$42</formula1>
    </dataValidation>
    <dataValidation type="list" allowBlank="1" showInputMessage="1" showErrorMessage="1" sqref="B10">
      <formula1>$B$38:$B$39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tValues">
                <anchor moveWithCells="1" sizeWithCells="1">
                  <from>
                    <xdr:col>2</xdr:col>
                    <xdr:colOff>828675</xdr:colOff>
                    <xdr:row>7</xdr:row>
                    <xdr:rowOff>123825</xdr:rowOff>
                  </from>
                  <to>
                    <xdr:col>3</xdr:col>
                    <xdr:colOff>1104900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fillPastDeploys">
                <anchor moveWithCells="1" sizeWithCells="1">
                  <from>
                    <xdr:col>4</xdr:col>
                    <xdr:colOff>295275</xdr:colOff>
                    <xdr:row>7</xdr:row>
                    <xdr:rowOff>133350</xdr:rowOff>
                  </from>
                  <to>
                    <xdr:col>5</xdr:col>
                    <xdr:colOff>304800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exePythonScript">
                <anchor moveWithCells="1" sizeWithCells="1">
                  <from>
                    <xdr:col>8</xdr:col>
                    <xdr:colOff>123825</xdr:colOff>
                    <xdr:row>4</xdr:row>
                    <xdr:rowOff>152400</xdr:rowOff>
                  </from>
                  <to>
                    <xdr:col>10</xdr:col>
                    <xdr:colOff>47625</xdr:colOff>
                    <xdr:row>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Button 5">
              <controlPr defaultSize="0" print="0" autoFill="0" autoPict="0" macro="[0]!delLocalRepo">
                <anchor moveWithCells="1" sizeWithCells="1">
                  <from>
                    <xdr:col>10</xdr:col>
                    <xdr:colOff>514350</xdr:colOff>
                    <xdr:row>4</xdr:row>
                    <xdr:rowOff>133350</xdr:rowOff>
                  </from>
                  <to>
                    <xdr:col>11</xdr:col>
                    <xdr:colOff>885825</xdr:colOff>
                    <xdr:row>6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H60"/>
  <sheetViews>
    <sheetView workbookViewId="0">
      <selection activeCell="A2" sqref="A2"/>
    </sheetView>
  </sheetViews>
  <sheetFormatPr baseColWidth="10" defaultRowHeight="15" x14ac:dyDescent="0.25"/>
  <cols>
    <col min="1" max="1" width="12" bestFit="1" customWidth="1"/>
    <col min="2" max="2" width="15.5703125" bestFit="1" customWidth="1"/>
    <col min="3" max="3" width="30.140625" bestFit="1" customWidth="1"/>
    <col min="4" max="4" width="26.140625" bestFit="1" customWidth="1"/>
    <col min="7" max="7" width="15.7109375" bestFit="1" customWidth="1"/>
    <col min="8" max="8" width="12.7109375" bestFit="1" customWidth="1"/>
  </cols>
  <sheetData>
    <row r="1" spans="1:8" ht="15.75" customHeight="1" thickBot="1" x14ac:dyDescent="0.3">
      <c r="A1" s="166" t="s">
        <v>127</v>
      </c>
      <c r="B1" s="167"/>
      <c r="C1" s="168"/>
      <c r="D1" s="167"/>
      <c r="E1" s="167"/>
      <c r="F1" s="167"/>
      <c r="G1" s="167"/>
      <c r="H1" s="167"/>
    </row>
    <row r="2" spans="1:8" ht="16.5" thickTop="1" thickBot="1" x14ac:dyDescent="0.3">
      <c r="A2" s="104" t="s">
        <v>0</v>
      </c>
      <c r="B2" s="105" t="s">
        <v>1</v>
      </c>
      <c r="C2" s="105" t="s">
        <v>2</v>
      </c>
      <c r="D2" s="105" t="s">
        <v>3</v>
      </c>
      <c r="E2" s="105" t="s">
        <v>128</v>
      </c>
      <c r="F2" s="106" t="s">
        <v>4</v>
      </c>
      <c r="G2" s="106" t="s">
        <v>129</v>
      </c>
      <c r="H2" s="107" t="s">
        <v>130</v>
      </c>
    </row>
    <row r="3" spans="1:8" x14ac:dyDescent="0.25">
      <c r="A3" s="169" t="s">
        <v>5</v>
      </c>
      <c r="B3" s="170" t="s">
        <v>6</v>
      </c>
    </row>
    <row r="4" spans="1:8" x14ac:dyDescent="0.25">
      <c r="A4" s="156"/>
      <c r="B4" s="163"/>
    </row>
    <row r="5" spans="1:8" x14ac:dyDescent="0.25">
      <c r="A5" s="171" t="s">
        <v>9</v>
      </c>
      <c r="B5" s="172" t="s">
        <v>10</v>
      </c>
    </row>
    <row r="6" spans="1:8" x14ac:dyDescent="0.25">
      <c r="A6" s="155"/>
      <c r="B6" s="163"/>
    </row>
    <row r="7" spans="1:8" x14ac:dyDescent="0.25">
      <c r="A7" s="155"/>
      <c r="B7" s="173" t="s">
        <v>14</v>
      </c>
    </row>
    <row r="8" spans="1:8" x14ac:dyDescent="0.25">
      <c r="A8" s="155"/>
      <c r="B8" s="163"/>
    </row>
    <row r="9" spans="1:8" x14ac:dyDescent="0.25">
      <c r="A9" s="155"/>
      <c r="B9" s="173" t="s">
        <v>17</v>
      </c>
    </row>
    <row r="10" spans="1:8" x14ac:dyDescent="0.25">
      <c r="A10" s="156"/>
      <c r="B10" s="163"/>
    </row>
    <row r="11" spans="1:8" x14ac:dyDescent="0.25">
      <c r="A11" s="161" t="s">
        <v>21</v>
      </c>
      <c r="B11" s="162" t="s">
        <v>22</v>
      </c>
    </row>
    <row r="12" spans="1:8" x14ac:dyDescent="0.25">
      <c r="A12" s="155"/>
      <c r="B12" s="163"/>
    </row>
    <row r="13" spans="1:8" x14ac:dyDescent="0.25">
      <c r="A13" s="155"/>
      <c r="B13" s="164" t="s">
        <v>175</v>
      </c>
    </row>
    <row r="14" spans="1:8" x14ac:dyDescent="0.25">
      <c r="A14" s="155"/>
      <c r="B14" s="163"/>
    </row>
    <row r="15" spans="1:8" x14ac:dyDescent="0.25">
      <c r="A15" s="155"/>
      <c r="B15" s="164" t="s">
        <v>176</v>
      </c>
    </row>
    <row r="16" spans="1:8" x14ac:dyDescent="0.25">
      <c r="A16" s="155"/>
      <c r="B16" s="163"/>
    </row>
    <row r="17" spans="1:2" x14ac:dyDescent="0.25">
      <c r="A17" s="155"/>
      <c r="B17" s="164" t="s">
        <v>177</v>
      </c>
    </row>
    <row r="18" spans="1:2" x14ac:dyDescent="0.25">
      <c r="A18" s="155"/>
      <c r="B18" s="163"/>
    </row>
    <row r="19" spans="1:2" x14ac:dyDescent="0.25">
      <c r="A19" s="155"/>
      <c r="B19" s="164" t="s">
        <v>178</v>
      </c>
    </row>
    <row r="20" spans="1:2" x14ac:dyDescent="0.25">
      <c r="A20" s="155"/>
      <c r="B20" s="163"/>
    </row>
    <row r="21" spans="1:2" x14ac:dyDescent="0.25">
      <c r="A21" s="155"/>
      <c r="B21" s="164" t="s">
        <v>179</v>
      </c>
    </row>
    <row r="22" spans="1:2" x14ac:dyDescent="0.25">
      <c r="A22" s="155"/>
      <c r="B22" s="163"/>
    </row>
    <row r="23" spans="1:2" x14ac:dyDescent="0.25">
      <c r="A23" s="155"/>
      <c r="B23" s="165" t="s">
        <v>180</v>
      </c>
    </row>
    <row r="24" spans="1:2" x14ac:dyDescent="0.25">
      <c r="A24" s="156"/>
      <c r="B24" s="163"/>
    </row>
    <row r="25" spans="1:2" x14ac:dyDescent="0.25">
      <c r="A25" s="154" t="s">
        <v>38</v>
      </c>
      <c r="B25" s="7" t="s">
        <v>181</v>
      </c>
    </row>
    <row r="26" spans="1:2" x14ac:dyDescent="0.25">
      <c r="A26" s="155"/>
      <c r="B26" s="7" t="s">
        <v>183</v>
      </c>
    </row>
    <row r="27" spans="1:2" x14ac:dyDescent="0.25">
      <c r="A27" s="155"/>
      <c r="B27" s="7" t="s">
        <v>184</v>
      </c>
    </row>
    <row r="28" spans="1:2" x14ac:dyDescent="0.25">
      <c r="A28" s="155"/>
      <c r="B28" s="7" t="s">
        <v>185</v>
      </c>
    </row>
    <row r="29" spans="1:2" x14ac:dyDescent="0.25">
      <c r="A29" s="155"/>
      <c r="B29" s="7" t="s">
        <v>186</v>
      </c>
    </row>
    <row r="30" spans="1:2" x14ac:dyDescent="0.25">
      <c r="A30" s="155"/>
      <c r="B30" s="7" t="s">
        <v>187</v>
      </c>
    </row>
    <row r="31" spans="1:2" x14ac:dyDescent="0.25">
      <c r="A31" s="155"/>
      <c r="B31" s="7" t="s">
        <v>188</v>
      </c>
    </row>
    <row r="32" spans="1:2" x14ac:dyDescent="0.25">
      <c r="A32" s="155"/>
      <c r="B32" s="10" t="s">
        <v>189</v>
      </c>
    </row>
    <row r="33" spans="1:2" x14ac:dyDescent="0.25">
      <c r="A33" s="155"/>
      <c r="B33" s="10" t="s">
        <v>190</v>
      </c>
    </row>
    <row r="34" spans="1:2" x14ac:dyDescent="0.25">
      <c r="A34" s="156"/>
      <c r="B34" s="10" t="s">
        <v>191</v>
      </c>
    </row>
    <row r="35" spans="1:2" x14ac:dyDescent="0.25">
      <c r="A35" s="157" t="s">
        <v>50</v>
      </c>
      <c r="B35" s="12" t="s">
        <v>192</v>
      </c>
    </row>
    <row r="36" spans="1:2" x14ac:dyDescent="0.25">
      <c r="A36" s="155"/>
      <c r="B36" s="12" t="s">
        <v>194</v>
      </c>
    </row>
    <row r="37" spans="1:2" x14ac:dyDescent="0.25">
      <c r="A37" s="155"/>
      <c r="B37" s="12" t="s">
        <v>196</v>
      </c>
    </row>
    <row r="38" spans="1:2" x14ac:dyDescent="0.25">
      <c r="A38" s="155"/>
      <c r="B38" s="12" t="s">
        <v>198</v>
      </c>
    </row>
    <row r="39" spans="1:2" x14ac:dyDescent="0.25">
      <c r="A39" s="155"/>
      <c r="B39" s="12" t="s">
        <v>53</v>
      </c>
    </row>
    <row r="40" spans="1:2" x14ac:dyDescent="0.25">
      <c r="A40" s="155"/>
      <c r="B40" s="12" t="s">
        <v>55</v>
      </c>
    </row>
    <row r="41" spans="1:2" x14ac:dyDescent="0.25">
      <c r="A41" s="155"/>
      <c r="B41" s="12" t="s">
        <v>57</v>
      </c>
    </row>
    <row r="42" spans="1:2" x14ac:dyDescent="0.25">
      <c r="A42" s="155"/>
      <c r="B42" s="12" t="s">
        <v>59</v>
      </c>
    </row>
    <row r="43" spans="1:2" x14ac:dyDescent="0.25">
      <c r="A43" s="155"/>
      <c r="B43" s="12" t="s">
        <v>61</v>
      </c>
    </row>
    <row r="44" spans="1:2" x14ac:dyDescent="0.25">
      <c r="A44" s="155"/>
      <c r="B44" s="12" t="s">
        <v>63</v>
      </c>
    </row>
    <row r="45" spans="1:2" x14ac:dyDescent="0.25">
      <c r="A45" s="155"/>
      <c r="B45" s="12" t="s">
        <v>65</v>
      </c>
    </row>
    <row r="46" spans="1:2" x14ac:dyDescent="0.25">
      <c r="A46" s="155"/>
      <c r="B46" s="12" t="s">
        <v>67</v>
      </c>
    </row>
    <row r="47" spans="1:2" x14ac:dyDescent="0.25">
      <c r="A47" s="155"/>
      <c r="B47" s="15" t="s">
        <v>69</v>
      </c>
    </row>
    <row r="48" spans="1:2" x14ac:dyDescent="0.25">
      <c r="A48" s="155"/>
      <c r="B48" s="18" t="s">
        <v>71</v>
      </c>
    </row>
    <row r="49" spans="1:8" ht="15.75" thickBot="1" x14ac:dyDescent="0.3">
      <c r="A49" s="158"/>
      <c r="B49" s="39" t="s">
        <v>73</v>
      </c>
    </row>
    <row r="50" spans="1:8" ht="15.75" customHeight="1" x14ac:dyDescent="0.25">
      <c r="A50" s="159" t="s">
        <v>94</v>
      </c>
      <c r="B50" s="43" t="s">
        <v>74</v>
      </c>
    </row>
    <row r="51" spans="1:8" ht="15.75" thickBot="1" x14ac:dyDescent="0.3">
      <c r="A51" s="160"/>
      <c r="B51" s="48" t="s">
        <v>76</v>
      </c>
    </row>
    <row r="52" spans="1:8" x14ac:dyDescent="0.25">
      <c r="A52" s="118"/>
      <c r="B52" s="118"/>
      <c r="C52" s="141"/>
      <c r="D52" s="141"/>
      <c r="E52" s="141"/>
      <c r="F52" s="141"/>
      <c r="G52" s="141"/>
      <c r="H52" s="141"/>
    </row>
    <row r="53" spans="1:8" x14ac:dyDescent="0.25">
      <c r="A53" s="118"/>
      <c r="B53" s="118"/>
      <c r="C53" s="141"/>
      <c r="D53" s="141"/>
      <c r="E53" s="141"/>
      <c r="F53" s="141"/>
      <c r="G53" s="141"/>
      <c r="H53" s="141"/>
    </row>
    <row r="54" spans="1:8" x14ac:dyDescent="0.25">
      <c r="A54" s="118"/>
      <c r="B54" s="118"/>
      <c r="C54" s="141"/>
      <c r="D54" s="141"/>
      <c r="E54" s="141"/>
      <c r="F54" s="141"/>
      <c r="G54" s="141"/>
      <c r="H54" s="141"/>
    </row>
    <row r="55" spans="1:8" x14ac:dyDescent="0.25">
      <c r="A55" s="118"/>
      <c r="B55" s="118"/>
      <c r="C55" s="141"/>
      <c r="D55" s="141"/>
      <c r="E55" s="141"/>
      <c r="F55" s="141"/>
      <c r="G55" s="141"/>
      <c r="H55" s="141"/>
    </row>
    <row r="56" spans="1:8" x14ac:dyDescent="0.25">
      <c r="A56" s="118"/>
      <c r="B56" s="118"/>
      <c r="C56" s="141"/>
      <c r="D56" s="141"/>
      <c r="E56" s="141"/>
      <c r="F56" s="141"/>
      <c r="G56" s="141"/>
      <c r="H56" s="141"/>
    </row>
    <row r="57" spans="1:8" x14ac:dyDescent="0.25">
      <c r="A57" s="118"/>
      <c r="B57" s="118"/>
      <c r="C57" s="141"/>
      <c r="D57" s="141"/>
      <c r="E57" s="141"/>
      <c r="F57" s="141"/>
      <c r="G57" s="141"/>
      <c r="H57" s="141"/>
    </row>
    <row r="58" spans="1:8" x14ac:dyDescent="0.25">
      <c r="A58" s="118"/>
      <c r="B58" s="118"/>
      <c r="C58" s="141"/>
      <c r="D58" s="141"/>
      <c r="E58" s="141"/>
      <c r="F58" s="141"/>
      <c r="G58" s="141"/>
      <c r="H58" s="141"/>
    </row>
    <row r="59" spans="1:8" x14ac:dyDescent="0.25">
      <c r="A59" s="118"/>
      <c r="B59" s="118"/>
      <c r="C59" s="141"/>
      <c r="D59" s="141"/>
      <c r="E59" s="141"/>
      <c r="F59" s="141"/>
      <c r="G59" s="141"/>
      <c r="H59" s="141"/>
    </row>
    <row r="60" spans="1:8" x14ac:dyDescent="0.25">
      <c r="A60" s="118"/>
      <c r="B60" s="118"/>
      <c r="C60" s="141"/>
      <c r="D60" s="141"/>
      <c r="E60" s="141"/>
      <c r="F60" s="141"/>
      <c r="G60" s="141"/>
      <c r="H60" s="141"/>
    </row>
  </sheetData>
  <mergeCells count="19">
    <mergeCell ref="A1:B1"/>
    <mergeCell ref="C1:H1"/>
    <mergeCell ref="A3:A4"/>
    <mergeCell ref="B3:B4"/>
    <mergeCell ref="A5:A10"/>
    <mergeCell ref="B5:B6"/>
    <mergeCell ref="B7:B8"/>
    <mergeCell ref="B9:B10"/>
    <mergeCell ref="A25:A34"/>
    <mergeCell ref="A35:A49"/>
    <mergeCell ref="A50:A51"/>
    <mergeCell ref="A11:A24"/>
    <mergeCell ref="B11:B12"/>
    <mergeCell ref="B13:B14"/>
    <mergeCell ref="B15:B16"/>
    <mergeCell ref="B17:B18"/>
    <mergeCell ref="B19:B20"/>
    <mergeCell ref="B21:B22"/>
    <mergeCell ref="B23:B24"/>
  </mergeCells>
  <conditionalFormatting sqref="A25:A34">
    <cfRule type="notContainsBlanks" dxfId="16" priority="4">
      <formula>LEN(TRIM(L25))&gt;0</formula>
    </cfRule>
  </conditionalFormatting>
  <conditionalFormatting sqref="B25:B34">
    <cfRule type="notContainsBlanks" dxfId="15" priority="3">
      <formula>LEN(TRIM(M25))&gt;0</formula>
    </cfRule>
  </conditionalFormatting>
  <hyperlinks>
    <hyperlink ref="A1" r:id="rId1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H50"/>
  <sheetViews>
    <sheetView zoomScale="110" zoomScaleNormal="110" workbookViewId="0">
      <selection activeCell="F2" sqref="F2:G50"/>
    </sheetView>
  </sheetViews>
  <sheetFormatPr baseColWidth="10" defaultColWidth="39.5703125" defaultRowHeight="20.100000000000001" customHeight="1" x14ac:dyDescent="0.25"/>
  <cols>
    <col min="1" max="1" width="21.7109375" customWidth="1"/>
    <col min="2" max="2" width="30.85546875" customWidth="1"/>
    <col min="3" max="3" width="29.7109375" customWidth="1"/>
    <col min="4" max="4" width="37.7109375" customWidth="1"/>
    <col min="5" max="5" width="39.5703125" style="34"/>
    <col min="6" max="6" width="15.42578125" customWidth="1"/>
    <col min="7" max="7" width="12.140625" style="81" customWidth="1"/>
    <col min="8" max="8" width="79.42578125" customWidth="1"/>
  </cols>
  <sheetData>
    <row r="1" spans="1:8" ht="20.100000000000001" customHeight="1" thickBot="1" x14ac:dyDescent="0.3">
      <c r="A1" s="61" t="s">
        <v>0</v>
      </c>
      <c r="B1" s="62" t="s">
        <v>1</v>
      </c>
      <c r="C1" s="62" t="s">
        <v>96</v>
      </c>
      <c r="D1" s="62" t="s">
        <v>2</v>
      </c>
      <c r="E1" s="62" t="s">
        <v>3</v>
      </c>
      <c r="F1" s="63" t="s">
        <v>4</v>
      </c>
      <c r="G1" s="70" t="s">
        <v>88</v>
      </c>
      <c r="H1" s="64" t="s">
        <v>95</v>
      </c>
    </row>
    <row r="2" spans="1:8" ht="20.100000000000001" customHeight="1" x14ac:dyDescent="0.25">
      <c r="A2" s="169" t="s">
        <v>5</v>
      </c>
      <c r="B2" s="170" t="s">
        <v>6</v>
      </c>
      <c r="C2" s="57" t="s">
        <v>6</v>
      </c>
      <c r="D2" s="58" t="s">
        <v>7</v>
      </c>
      <c r="E2" s="67" t="s">
        <v>112</v>
      </c>
      <c r="F2" s="59"/>
      <c r="G2" s="71"/>
      <c r="H2" s="60"/>
    </row>
    <row r="3" spans="1:8" ht="20.100000000000001" customHeight="1" x14ac:dyDescent="0.25">
      <c r="A3" s="156"/>
      <c r="B3" s="163"/>
      <c r="C3" s="24" t="s">
        <v>6</v>
      </c>
      <c r="D3" s="1" t="s">
        <v>7</v>
      </c>
      <c r="E3" s="35" t="s">
        <v>8</v>
      </c>
      <c r="F3" s="2"/>
      <c r="G3" s="72"/>
      <c r="H3" s="55"/>
    </row>
    <row r="4" spans="1:8" ht="20.100000000000001" customHeight="1" x14ac:dyDescent="0.25">
      <c r="A4" s="171" t="s">
        <v>9</v>
      </c>
      <c r="B4" s="172" t="s">
        <v>10</v>
      </c>
      <c r="C4" s="25" t="s">
        <v>10</v>
      </c>
      <c r="D4" s="3" t="s">
        <v>11</v>
      </c>
      <c r="E4" s="36" t="s">
        <v>12</v>
      </c>
      <c r="F4" s="4"/>
      <c r="G4" s="73"/>
      <c r="H4" s="55"/>
    </row>
    <row r="5" spans="1:8" ht="20.100000000000001" customHeight="1" x14ac:dyDescent="0.25">
      <c r="A5" s="155"/>
      <c r="B5" s="163"/>
      <c r="C5" s="25" t="s">
        <v>10</v>
      </c>
      <c r="D5" s="3" t="s">
        <v>11</v>
      </c>
      <c r="E5" s="36" t="s">
        <v>13</v>
      </c>
      <c r="F5" s="4"/>
      <c r="G5" s="73"/>
      <c r="H5" s="55"/>
    </row>
    <row r="6" spans="1:8" ht="20.100000000000001" customHeight="1" x14ac:dyDescent="0.25">
      <c r="A6" s="155"/>
      <c r="B6" s="173" t="s">
        <v>14</v>
      </c>
      <c r="C6" s="25" t="s">
        <v>14</v>
      </c>
      <c r="D6" s="3" t="s">
        <v>11</v>
      </c>
      <c r="E6" s="36" t="s">
        <v>15</v>
      </c>
      <c r="F6" s="4"/>
      <c r="G6" s="73"/>
      <c r="H6" s="55"/>
    </row>
    <row r="7" spans="1:8" ht="20.100000000000001" customHeight="1" x14ac:dyDescent="0.25">
      <c r="A7" s="155"/>
      <c r="B7" s="163"/>
      <c r="C7" s="25" t="s">
        <v>14</v>
      </c>
      <c r="D7" s="3" t="s">
        <v>11</v>
      </c>
      <c r="E7" s="36" t="s">
        <v>16</v>
      </c>
      <c r="F7" s="4"/>
      <c r="G7" s="73"/>
      <c r="H7" s="55"/>
    </row>
    <row r="8" spans="1:8" ht="20.100000000000001" customHeight="1" x14ac:dyDescent="0.25">
      <c r="A8" s="155"/>
      <c r="B8" s="173" t="s">
        <v>17</v>
      </c>
      <c r="C8" s="26" t="s">
        <v>17</v>
      </c>
      <c r="D8" s="3" t="s">
        <v>7</v>
      </c>
      <c r="E8" s="36" t="s">
        <v>18</v>
      </c>
      <c r="F8" s="4"/>
      <c r="G8" s="73"/>
      <c r="H8" s="55"/>
    </row>
    <row r="9" spans="1:8" ht="20.100000000000001" customHeight="1" x14ac:dyDescent="0.25">
      <c r="A9" s="156"/>
      <c r="B9" s="163"/>
      <c r="C9" s="26" t="s">
        <v>17</v>
      </c>
      <c r="D9" s="3" t="s">
        <v>19</v>
      </c>
      <c r="E9" s="36" t="s">
        <v>20</v>
      </c>
      <c r="F9" s="4"/>
      <c r="G9" s="73"/>
      <c r="H9" s="55"/>
    </row>
    <row r="10" spans="1:8" ht="20.100000000000001" customHeight="1" x14ac:dyDescent="0.25">
      <c r="A10" s="161" t="s">
        <v>21</v>
      </c>
      <c r="B10" s="162" t="s">
        <v>22</v>
      </c>
      <c r="C10" s="27" t="s">
        <v>22</v>
      </c>
      <c r="D10" s="5" t="s">
        <v>11</v>
      </c>
      <c r="E10" s="37" t="s">
        <v>23</v>
      </c>
      <c r="F10" s="6"/>
      <c r="G10" s="74"/>
      <c r="H10" s="55"/>
    </row>
    <row r="11" spans="1:8" ht="20.100000000000001" customHeight="1" x14ac:dyDescent="0.25">
      <c r="A11" s="155"/>
      <c r="B11" s="163"/>
      <c r="C11" s="27" t="s">
        <v>22</v>
      </c>
      <c r="D11" s="5" t="s">
        <v>11</v>
      </c>
      <c r="E11" s="37" t="s">
        <v>24</v>
      </c>
      <c r="F11" s="6"/>
      <c r="G11" s="74"/>
      <c r="H11" s="55"/>
    </row>
    <row r="12" spans="1:8" ht="20.100000000000001" customHeight="1" x14ac:dyDescent="0.25">
      <c r="A12" s="155"/>
      <c r="B12" s="164" t="s">
        <v>175</v>
      </c>
      <c r="C12" s="27" t="s">
        <v>175</v>
      </c>
      <c r="D12" s="5" t="s">
        <v>11</v>
      </c>
      <c r="E12" s="37" t="s">
        <v>25</v>
      </c>
      <c r="F12" s="6"/>
      <c r="G12" s="74"/>
      <c r="H12" s="55"/>
    </row>
    <row r="13" spans="1:8" ht="20.100000000000001" customHeight="1" x14ac:dyDescent="0.25">
      <c r="A13" s="155"/>
      <c r="B13" s="163"/>
      <c r="C13" s="27" t="s">
        <v>175</v>
      </c>
      <c r="D13" s="5" t="s">
        <v>11</v>
      </c>
      <c r="E13" s="37" t="s">
        <v>26</v>
      </c>
      <c r="F13" s="117"/>
      <c r="G13" s="74"/>
      <c r="H13" s="55"/>
    </row>
    <row r="14" spans="1:8" ht="20.100000000000001" customHeight="1" x14ac:dyDescent="0.25">
      <c r="A14" s="155"/>
      <c r="B14" s="164" t="s">
        <v>176</v>
      </c>
      <c r="C14" s="27" t="s">
        <v>176</v>
      </c>
      <c r="D14" s="5" t="s">
        <v>11</v>
      </c>
      <c r="E14" s="37" t="s">
        <v>27</v>
      </c>
      <c r="F14" s="6"/>
      <c r="G14" s="74"/>
      <c r="H14" s="55"/>
    </row>
    <row r="15" spans="1:8" ht="20.100000000000001" customHeight="1" x14ac:dyDescent="0.25">
      <c r="A15" s="155"/>
      <c r="B15" s="163"/>
      <c r="C15" s="27" t="s">
        <v>176</v>
      </c>
      <c r="D15" s="5" t="s">
        <v>11</v>
      </c>
      <c r="E15" s="37" t="s">
        <v>29</v>
      </c>
      <c r="F15" s="117"/>
      <c r="G15" s="74"/>
      <c r="H15" s="55"/>
    </row>
    <row r="16" spans="1:8" ht="20.100000000000001" customHeight="1" x14ac:dyDescent="0.25">
      <c r="A16" s="155"/>
      <c r="B16" s="164" t="s">
        <v>177</v>
      </c>
      <c r="C16" s="27" t="s">
        <v>177</v>
      </c>
      <c r="D16" s="5" t="s">
        <v>11</v>
      </c>
      <c r="E16" s="37" t="s">
        <v>30</v>
      </c>
      <c r="F16" s="6"/>
      <c r="G16" s="74"/>
      <c r="H16" s="55"/>
    </row>
    <row r="17" spans="1:8" ht="20.100000000000001" customHeight="1" x14ac:dyDescent="0.25">
      <c r="A17" s="155"/>
      <c r="B17" s="163"/>
      <c r="C17" s="27" t="s">
        <v>177</v>
      </c>
      <c r="D17" s="5" t="s">
        <v>11</v>
      </c>
      <c r="E17" s="37" t="s">
        <v>31</v>
      </c>
      <c r="F17" s="6"/>
      <c r="G17" s="74"/>
      <c r="H17" s="55"/>
    </row>
    <row r="18" spans="1:8" ht="20.100000000000001" customHeight="1" x14ac:dyDescent="0.25">
      <c r="A18" s="155"/>
      <c r="B18" s="164" t="s">
        <v>178</v>
      </c>
      <c r="C18" s="27" t="s">
        <v>178</v>
      </c>
      <c r="D18" s="5" t="s">
        <v>11</v>
      </c>
      <c r="E18" s="37" t="s">
        <v>32</v>
      </c>
      <c r="F18" s="117"/>
      <c r="G18" s="74"/>
      <c r="H18" s="55"/>
    </row>
    <row r="19" spans="1:8" ht="20.100000000000001" customHeight="1" x14ac:dyDescent="0.25">
      <c r="A19" s="155"/>
      <c r="B19" s="163"/>
      <c r="C19" s="27" t="s">
        <v>178</v>
      </c>
      <c r="D19" s="5" t="s">
        <v>11</v>
      </c>
      <c r="E19" s="37" t="s">
        <v>33</v>
      </c>
      <c r="F19" s="6"/>
      <c r="G19" s="74"/>
      <c r="H19" s="55"/>
    </row>
    <row r="20" spans="1:8" ht="20.100000000000001" customHeight="1" x14ac:dyDescent="0.25">
      <c r="A20" s="155"/>
      <c r="B20" s="164" t="s">
        <v>179</v>
      </c>
      <c r="C20" s="27" t="s">
        <v>179</v>
      </c>
      <c r="D20" s="5" t="s">
        <v>11</v>
      </c>
      <c r="E20" s="37" t="s">
        <v>34</v>
      </c>
      <c r="F20" s="117"/>
      <c r="G20" s="74"/>
      <c r="H20" s="55"/>
    </row>
    <row r="21" spans="1:8" ht="20.100000000000001" customHeight="1" x14ac:dyDescent="0.25">
      <c r="A21" s="155"/>
      <c r="B21" s="163"/>
      <c r="C21" s="27" t="s">
        <v>179</v>
      </c>
      <c r="D21" s="5" t="s">
        <v>11</v>
      </c>
      <c r="E21" s="37" t="s">
        <v>35</v>
      </c>
      <c r="F21" s="6"/>
      <c r="G21" s="74"/>
      <c r="H21" s="55"/>
    </row>
    <row r="22" spans="1:8" ht="20.100000000000001" customHeight="1" x14ac:dyDescent="0.25">
      <c r="A22" s="155"/>
      <c r="B22" s="165" t="s">
        <v>180</v>
      </c>
      <c r="C22" s="28" t="s">
        <v>180</v>
      </c>
      <c r="D22" s="5" t="s">
        <v>11</v>
      </c>
      <c r="E22" s="37" t="s">
        <v>36</v>
      </c>
      <c r="F22" s="6"/>
      <c r="G22" s="74"/>
      <c r="H22" s="55"/>
    </row>
    <row r="23" spans="1:8" ht="20.100000000000001" customHeight="1" x14ac:dyDescent="0.25">
      <c r="A23" s="156"/>
      <c r="B23" s="163"/>
      <c r="C23" s="28" t="s">
        <v>180</v>
      </c>
      <c r="D23" s="5" t="s">
        <v>11</v>
      </c>
      <c r="E23" s="37" t="s">
        <v>37</v>
      </c>
      <c r="F23" s="6"/>
      <c r="G23" s="74"/>
      <c r="H23" s="55"/>
    </row>
    <row r="24" spans="1:8" ht="20.100000000000001" customHeight="1" x14ac:dyDescent="0.25">
      <c r="A24" s="154" t="s">
        <v>38</v>
      </c>
      <c r="B24" s="7" t="s">
        <v>181</v>
      </c>
      <c r="C24" s="29" t="s">
        <v>181</v>
      </c>
      <c r="D24" s="8" t="s">
        <v>182</v>
      </c>
      <c r="E24" s="38" t="s">
        <v>39</v>
      </c>
      <c r="F24" s="108"/>
      <c r="G24" s="75"/>
      <c r="H24" s="55"/>
    </row>
    <row r="25" spans="1:8" ht="20.100000000000001" customHeight="1" x14ac:dyDescent="0.25">
      <c r="A25" s="155"/>
      <c r="B25" s="7" t="s">
        <v>183</v>
      </c>
      <c r="C25" s="29" t="s">
        <v>183</v>
      </c>
      <c r="D25" s="8" t="s">
        <v>182</v>
      </c>
      <c r="E25" s="38" t="s">
        <v>40</v>
      </c>
      <c r="F25" s="9"/>
      <c r="G25" s="75"/>
      <c r="H25" s="55"/>
    </row>
    <row r="26" spans="1:8" ht="20.100000000000001" customHeight="1" x14ac:dyDescent="0.25">
      <c r="A26" s="155"/>
      <c r="B26" s="7" t="s">
        <v>184</v>
      </c>
      <c r="C26" s="29" t="s">
        <v>184</v>
      </c>
      <c r="D26" s="8" t="s">
        <v>182</v>
      </c>
      <c r="E26" s="38" t="s">
        <v>41</v>
      </c>
      <c r="F26" s="108"/>
      <c r="G26" s="75"/>
      <c r="H26" s="55"/>
    </row>
    <row r="27" spans="1:8" ht="20.100000000000001" customHeight="1" x14ac:dyDescent="0.25">
      <c r="A27" s="155"/>
      <c r="B27" s="7" t="s">
        <v>185</v>
      </c>
      <c r="C27" s="29" t="s">
        <v>185</v>
      </c>
      <c r="D27" s="8" t="s">
        <v>182</v>
      </c>
      <c r="E27" s="38" t="s">
        <v>42</v>
      </c>
      <c r="F27" s="108"/>
      <c r="G27" s="75"/>
      <c r="H27" s="55"/>
    </row>
    <row r="28" spans="1:8" ht="20.100000000000001" customHeight="1" x14ac:dyDescent="0.25">
      <c r="A28" s="155"/>
      <c r="B28" s="7" t="s">
        <v>186</v>
      </c>
      <c r="C28" s="29" t="s">
        <v>186</v>
      </c>
      <c r="D28" s="8" t="s">
        <v>182</v>
      </c>
      <c r="E28" s="38" t="s">
        <v>43</v>
      </c>
      <c r="F28" s="9"/>
      <c r="G28" s="75"/>
      <c r="H28" s="55"/>
    </row>
    <row r="29" spans="1:8" ht="20.100000000000001" customHeight="1" x14ac:dyDescent="0.25">
      <c r="A29" s="155"/>
      <c r="B29" s="7" t="s">
        <v>187</v>
      </c>
      <c r="C29" s="29" t="s">
        <v>187</v>
      </c>
      <c r="D29" s="8" t="s">
        <v>182</v>
      </c>
      <c r="E29" s="38" t="s">
        <v>44</v>
      </c>
      <c r="F29" s="9"/>
      <c r="G29" s="75"/>
      <c r="H29" s="55"/>
    </row>
    <row r="30" spans="1:8" ht="20.100000000000001" customHeight="1" x14ac:dyDescent="0.25">
      <c r="A30" s="155"/>
      <c r="B30" s="7" t="s">
        <v>188</v>
      </c>
      <c r="C30" s="29" t="s">
        <v>188</v>
      </c>
      <c r="D30" s="8" t="s">
        <v>182</v>
      </c>
      <c r="E30" s="38" t="s">
        <v>45</v>
      </c>
      <c r="F30" s="9"/>
      <c r="G30" s="75"/>
      <c r="H30" s="55"/>
    </row>
    <row r="31" spans="1:8" ht="20.100000000000001" customHeight="1" x14ac:dyDescent="0.25">
      <c r="A31" s="155"/>
      <c r="B31" s="10" t="s">
        <v>189</v>
      </c>
      <c r="C31" s="30" t="s">
        <v>189</v>
      </c>
      <c r="D31" s="8" t="s">
        <v>182</v>
      </c>
      <c r="E31" s="38" t="s">
        <v>46</v>
      </c>
      <c r="F31" s="110"/>
      <c r="G31" s="75"/>
      <c r="H31" s="55"/>
    </row>
    <row r="32" spans="1:8" ht="20.100000000000001" customHeight="1" x14ac:dyDescent="0.25">
      <c r="A32" s="155"/>
      <c r="B32" s="10" t="s">
        <v>190</v>
      </c>
      <c r="C32" s="30" t="s">
        <v>190</v>
      </c>
      <c r="D32" s="8" t="s">
        <v>182</v>
      </c>
      <c r="E32" s="38" t="s">
        <v>48</v>
      </c>
      <c r="F32" s="110"/>
      <c r="G32" s="75"/>
      <c r="H32" s="55"/>
    </row>
    <row r="33" spans="1:8" ht="20.100000000000001" customHeight="1" x14ac:dyDescent="0.25">
      <c r="A33" s="156"/>
      <c r="B33" s="10" t="s">
        <v>191</v>
      </c>
      <c r="C33" s="30" t="s">
        <v>191</v>
      </c>
      <c r="D33" s="8" t="s">
        <v>182</v>
      </c>
      <c r="E33" s="38" t="s">
        <v>49</v>
      </c>
      <c r="F33" s="11"/>
      <c r="G33" s="75"/>
      <c r="H33" s="55"/>
    </row>
    <row r="34" spans="1:8" ht="20.100000000000001" customHeight="1" x14ac:dyDescent="0.25">
      <c r="A34" s="157" t="s">
        <v>50</v>
      </c>
      <c r="B34" s="12" t="s">
        <v>192</v>
      </c>
      <c r="C34" s="31" t="s">
        <v>192</v>
      </c>
      <c r="D34" s="13" t="s">
        <v>11</v>
      </c>
      <c r="E34" s="15" t="s">
        <v>193</v>
      </c>
      <c r="F34" s="14"/>
      <c r="G34" s="76"/>
      <c r="H34" s="55"/>
    </row>
    <row r="35" spans="1:8" ht="20.100000000000001" customHeight="1" x14ac:dyDescent="0.25">
      <c r="A35" s="155"/>
      <c r="B35" s="12" t="s">
        <v>194</v>
      </c>
      <c r="C35" s="31" t="s">
        <v>194</v>
      </c>
      <c r="D35" s="13" t="s">
        <v>11</v>
      </c>
      <c r="E35" s="15" t="s">
        <v>195</v>
      </c>
      <c r="F35" s="14"/>
      <c r="G35" s="76"/>
      <c r="H35" s="55"/>
    </row>
    <row r="36" spans="1:8" ht="20.100000000000001" customHeight="1" x14ac:dyDescent="0.25">
      <c r="A36" s="155"/>
      <c r="B36" s="12" t="s">
        <v>196</v>
      </c>
      <c r="C36" s="31" t="s">
        <v>196</v>
      </c>
      <c r="D36" s="13" t="s">
        <v>11</v>
      </c>
      <c r="E36" s="15" t="s">
        <v>197</v>
      </c>
      <c r="F36" s="14"/>
      <c r="G36" s="77"/>
      <c r="H36" s="55"/>
    </row>
    <row r="37" spans="1:8" ht="20.100000000000001" customHeight="1" x14ac:dyDescent="0.25">
      <c r="A37" s="155"/>
      <c r="B37" s="12" t="s">
        <v>198</v>
      </c>
      <c r="C37" s="31" t="s">
        <v>198</v>
      </c>
      <c r="D37" s="13" t="s">
        <v>11</v>
      </c>
      <c r="E37" s="15" t="s">
        <v>52</v>
      </c>
      <c r="F37" s="14"/>
      <c r="G37" s="76"/>
      <c r="H37" s="55"/>
    </row>
    <row r="38" spans="1:8" ht="20.100000000000001" customHeight="1" x14ac:dyDescent="0.25">
      <c r="A38" s="155"/>
      <c r="B38" s="12" t="s">
        <v>53</v>
      </c>
      <c r="C38" s="31" t="s">
        <v>53</v>
      </c>
      <c r="D38" s="13" t="s">
        <v>11</v>
      </c>
      <c r="E38" s="15" t="s">
        <v>54</v>
      </c>
      <c r="F38" s="14"/>
      <c r="G38" s="76"/>
      <c r="H38" s="55"/>
    </row>
    <row r="39" spans="1:8" ht="20.100000000000001" customHeight="1" x14ac:dyDescent="0.25">
      <c r="A39" s="155"/>
      <c r="B39" s="12" t="s">
        <v>55</v>
      </c>
      <c r="C39" s="31" t="s">
        <v>55</v>
      </c>
      <c r="D39" s="13" t="s">
        <v>11</v>
      </c>
      <c r="E39" s="15" t="s">
        <v>56</v>
      </c>
      <c r="F39" s="109"/>
      <c r="G39" s="76"/>
      <c r="H39" s="55"/>
    </row>
    <row r="40" spans="1:8" ht="20.100000000000001" customHeight="1" x14ac:dyDescent="0.25">
      <c r="A40" s="155"/>
      <c r="B40" s="12" t="s">
        <v>57</v>
      </c>
      <c r="C40" s="31" t="s">
        <v>57</v>
      </c>
      <c r="D40" s="13" t="s">
        <v>11</v>
      </c>
      <c r="E40" s="15" t="s">
        <v>58</v>
      </c>
      <c r="F40" s="14"/>
      <c r="G40" s="76"/>
      <c r="H40" s="55"/>
    </row>
    <row r="41" spans="1:8" ht="20.100000000000001" customHeight="1" x14ac:dyDescent="0.25">
      <c r="A41" s="155"/>
      <c r="B41" s="12" t="s">
        <v>59</v>
      </c>
      <c r="C41" s="31" t="s">
        <v>59</v>
      </c>
      <c r="D41" s="13" t="s">
        <v>11</v>
      </c>
      <c r="E41" s="15" t="s">
        <v>60</v>
      </c>
      <c r="F41" s="109"/>
      <c r="G41" s="76"/>
      <c r="H41" s="55"/>
    </row>
    <row r="42" spans="1:8" ht="20.100000000000001" customHeight="1" x14ac:dyDescent="0.25">
      <c r="A42" s="155"/>
      <c r="B42" s="12" t="s">
        <v>61</v>
      </c>
      <c r="C42" s="31" t="s">
        <v>61</v>
      </c>
      <c r="D42" s="13" t="s">
        <v>11</v>
      </c>
      <c r="E42" s="15" t="s">
        <v>62</v>
      </c>
      <c r="F42" s="14"/>
      <c r="G42" s="76"/>
      <c r="H42" s="55"/>
    </row>
    <row r="43" spans="1:8" ht="20.100000000000001" customHeight="1" x14ac:dyDescent="0.25">
      <c r="A43" s="155"/>
      <c r="B43" s="12" t="s">
        <v>247</v>
      </c>
      <c r="C43" s="31" t="s">
        <v>247</v>
      </c>
      <c r="D43" s="13" t="s">
        <v>11</v>
      </c>
      <c r="E43" s="15" t="s">
        <v>64</v>
      </c>
      <c r="F43" s="14"/>
      <c r="G43" s="76"/>
      <c r="H43" s="55"/>
    </row>
    <row r="44" spans="1:8" ht="20.100000000000001" customHeight="1" x14ac:dyDescent="0.25">
      <c r="A44" s="155"/>
      <c r="B44" s="12" t="s">
        <v>65</v>
      </c>
      <c r="C44" s="31" t="s">
        <v>65</v>
      </c>
      <c r="D44" s="13" t="s">
        <v>11</v>
      </c>
      <c r="E44" s="15" t="s">
        <v>66</v>
      </c>
      <c r="F44" s="14"/>
      <c r="G44" s="76"/>
      <c r="H44" s="55"/>
    </row>
    <row r="45" spans="1:8" ht="20.100000000000001" customHeight="1" x14ac:dyDescent="0.25">
      <c r="A45" s="155"/>
      <c r="B45" s="12" t="s">
        <v>67</v>
      </c>
      <c r="C45" s="31" t="s">
        <v>67</v>
      </c>
      <c r="D45" s="13" t="s">
        <v>11</v>
      </c>
      <c r="E45" s="15" t="s">
        <v>68</v>
      </c>
      <c r="F45" s="14"/>
      <c r="G45" s="76"/>
      <c r="H45" s="55"/>
    </row>
    <row r="46" spans="1:8" ht="20.100000000000001" customHeight="1" x14ac:dyDescent="0.25">
      <c r="A46" s="155"/>
      <c r="B46" s="15" t="s">
        <v>69</v>
      </c>
      <c r="C46" s="32" t="s">
        <v>69</v>
      </c>
      <c r="D46" s="16" t="s">
        <v>11</v>
      </c>
      <c r="E46" s="18" t="s">
        <v>70</v>
      </c>
      <c r="F46" s="17"/>
      <c r="G46" s="76"/>
      <c r="H46" s="55"/>
    </row>
    <row r="47" spans="1:8" ht="20.100000000000001" customHeight="1" x14ac:dyDescent="0.25">
      <c r="A47" s="155"/>
      <c r="B47" s="18" t="s">
        <v>71</v>
      </c>
      <c r="C47" s="33" t="s">
        <v>71</v>
      </c>
      <c r="D47" s="16" t="s">
        <v>11</v>
      </c>
      <c r="E47" s="18" t="s">
        <v>72</v>
      </c>
      <c r="F47" s="17"/>
      <c r="G47" s="76"/>
      <c r="H47" s="55"/>
    </row>
    <row r="48" spans="1:8" ht="20.100000000000001" customHeight="1" thickBot="1" x14ac:dyDescent="0.3">
      <c r="A48" s="158"/>
      <c r="B48" s="39" t="s">
        <v>73</v>
      </c>
      <c r="C48" s="40" t="s">
        <v>224</v>
      </c>
      <c r="D48" s="41" t="s">
        <v>11</v>
      </c>
      <c r="E48" s="39" t="s">
        <v>73</v>
      </c>
      <c r="F48" s="42"/>
      <c r="G48" s="78"/>
      <c r="H48" s="56"/>
    </row>
    <row r="49" spans="1:8" ht="20.100000000000001" customHeight="1" x14ac:dyDescent="0.25">
      <c r="A49" s="159" t="s">
        <v>94</v>
      </c>
      <c r="B49" s="43" t="s">
        <v>74</v>
      </c>
      <c r="C49" s="44" t="s">
        <v>74</v>
      </c>
      <c r="D49" s="45" t="s">
        <v>75</v>
      </c>
      <c r="E49" s="46" t="s">
        <v>74</v>
      </c>
      <c r="F49" s="47"/>
      <c r="G49" s="79"/>
      <c r="H49" s="53"/>
    </row>
    <row r="50" spans="1:8" ht="20.100000000000001" customHeight="1" thickBot="1" x14ac:dyDescent="0.3">
      <c r="A50" s="160"/>
      <c r="B50" s="48" t="s">
        <v>76</v>
      </c>
      <c r="C50" s="49" t="s">
        <v>76</v>
      </c>
      <c r="D50" s="50" t="s">
        <v>77</v>
      </c>
      <c r="E50" s="51" t="s">
        <v>76</v>
      </c>
      <c r="F50" s="52"/>
      <c r="G50" s="80"/>
      <c r="H50" s="54"/>
    </row>
  </sheetData>
  <mergeCells count="17">
    <mergeCell ref="A24:A33"/>
    <mergeCell ref="A34:A48"/>
    <mergeCell ref="A49:A50"/>
    <mergeCell ref="A10:A23"/>
    <mergeCell ref="B10:B11"/>
    <mergeCell ref="B12:B13"/>
    <mergeCell ref="B14:B15"/>
    <mergeCell ref="B16:B17"/>
    <mergeCell ref="B18:B19"/>
    <mergeCell ref="B20:B21"/>
    <mergeCell ref="B22:B23"/>
    <mergeCell ref="A2:A3"/>
    <mergeCell ref="B2:B3"/>
    <mergeCell ref="A4:A9"/>
    <mergeCell ref="B4:B5"/>
    <mergeCell ref="B6:B7"/>
    <mergeCell ref="B8:B9"/>
  </mergeCells>
  <conditionalFormatting sqref="F24:F33 A24:A33">
    <cfRule type="notContainsBlanks" dxfId="14" priority="5">
      <formula>LEN(TRIM(L24))&gt;0</formula>
    </cfRule>
  </conditionalFormatting>
  <conditionalFormatting sqref="G24:G33">
    <cfRule type="notContainsBlanks" dxfId="13" priority="7">
      <formula>LEN(TRIM(P24))&gt;0</formula>
    </cfRule>
  </conditionalFormatting>
  <conditionalFormatting sqref="E24:E33">
    <cfRule type="notContainsBlanks" dxfId="12" priority="1">
      <formula>LEN(TRIM(O24))&gt;0</formula>
    </cfRule>
  </conditionalFormatting>
  <conditionalFormatting sqref="B24:C33">
    <cfRule type="notContainsBlanks" dxfId="11" priority="2">
      <formula>LEN(TRIM(M24))&gt;0</formula>
    </cfRule>
  </conditionalFormatting>
  <conditionalFormatting sqref="D24:D33">
    <cfRule type="notContainsBlanks" dxfId="10" priority="3">
      <formula>LEN(TRIM(N24))&gt;0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H203"/>
  <sheetViews>
    <sheetView tabSelected="1" topLeftCell="A187" workbookViewId="0">
      <selection activeCell="G172" sqref="G172"/>
    </sheetView>
  </sheetViews>
  <sheetFormatPr baseColWidth="10" defaultRowHeight="18" customHeight="1" x14ac:dyDescent="0.25"/>
  <cols>
    <col min="1" max="1" width="17.85546875" style="82" customWidth="1"/>
    <col min="2" max="2" width="17.42578125" style="83" customWidth="1"/>
    <col min="3" max="3" width="18.42578125" style="83" customWidth="1"/>
    <col min="4" max="4" width="16.85546875" style="89" customWidth="1"/>
    <col min="5" max="5" width="37.140625" style="84" customWidth="1"/>
    <col min="6" max="6" width="38.140625" style="83" customWidth="1"/>
    <col min="7" max="7" width="28.42578125" style="89" customWidth="1"/>
    <col min="8" max="8" width="80" style="83" customWidth="1"/>
    <col min="9" max="9" width="80.140625" style="83" customWidth="1"/>
    <col min="10" max="16384" width="11.42578125" style="83"/>
  </cols>
  <sheetData>
    <row r="1" spans="1:8" s="89" customFormat="1" ht="18" customHeight="1" x14ac:dyDescent="0.25">
      <c r="A1" s="88" t="s">
        <v>113</v>
      </c>
      <c r="B1" s="89" t="s">
        <v>116</v>
      </c>
      <c r="C1" s="89" t="s">
        <v>89</v>
      </c>
      <c r="D1" s="89" t="s">
        <v>90</v>
      </c>
      <c r="E1" s="90" t="s">
        <v>91</v>
      </c>
      <c r="F1" s="89" t="s">
        <v>115</v>
      </c>
      <c r="G1" s="89" t="s">
        <v>92</v>
      </c>
      <c r="H1" s="89" t="s">
        <v>93</v>
      </c>
    </row>
    <row r="2" spans="1:8" s="86" customFormat="1" ht="18" customHeight="1" x14ac:dyDescent="0.25">
      <c r="A2" s="85">
        <v>44663</v>
      </c>
      <c r="B2" s="86" t="s">
        <v>80</v>
      </c>
      <c r="C2" s="86" t="s">
        <v>85</v>
      </c>
      <c r="D2" s="96" t="s">
        <v>47</v>
      </c>
      <c r="E2" s="87" t="str">
        <f>INDEX(Deploy!C$2:C$55, MATCH(Tabla2[[#This Row],[Artif_id]],Deploy!E$2:E$55,0))</f>
        <v>cloud</v>
      </c>
      <c r="F2" s="91" t="s">
        <v>12</v>
      </c>
      <c r="G2" s="96" t="s">
        <v>97</v>
      </c>
    </row>
    <row r="3" spans="1:8" ht="18" customHeight="1" x14ac:dyDescent="0.25">
      <c r="A3" s="93">
        <v>44663</v>
      </c>
      <c r="B3" s="94" t="s">
        <v>80</v>
      </c>
      <c r="C3" s="94" t="s">
        <v>85</v>
      </c>
      <c r="D3" s="98" t="s">
        <v>47</v>
      </c>
      <c r="E3" s="92" t="str">
        <f>INDEX(Deploy!C$2:C$55, MATCH(Tabla2[[#This Row],[Artif_id]],Deploy!E$2:E$55,0))</f>
        <v>cloud</v>
      </c>
      <c r="F3" s="95" t="s">
        <v>13</v>
      </c>
      <c r="G3" s="97" t="s">
        <v>97</v>
      </c>
      <c r="H3" s="94"/>
    </row>
    <row r="4" spans="1:8" ht="18" customHeight="1" x14ac:dyDescent="0.25">
      <c r="A4" s="93">
        <v>44663</v>
      </c>
      <c r="B4" s="94" t="s">
        <v>80</v>
      </c>
      <c r="C4" s="94" t="s">
        <v>85</v>
      </c>
      <c r="D4" s="98" t="s">
        <v>47</v>
      </c>
      <c r="E4" s="92" t="str">
        <f>INDEX(Deploy!C$2:C$55, MATCH(Tabla2[[#This Row],[Artif_id]],Deploy!E$2:E$55,0))</f>
        <v>collectionsexport</v>
      </c>
      <c r="F4" s="95" t="s">
        <v>23</v>
      </c>
      <c r="G4" s="97" t="s">
        <v>98</v>
      </c>
      <c r="H4" s="94"/>
    </row>
    <row r="5" spans="1:8" ht="18" customHeight="1" x14ac:dyDescent="0.25">
      <c r="A5" s="93">
        <v>44663</v>
      </c>
      <c r="B5" s="94" t="s">
        <v>80</v>
      </c>
      <c r="C5" s="94" t="s">
        <v>85</v>
      </c>
      <c r="D5" s="98" t="s">
        <v>47</v>
      </c>
      <c r="E5" s="92" t="str">
        <f>INDEX(Deploy!C$2:C$55, MATCH(Tabla2[[#This Row],[Artif_id]],Deploy!E$2:E$55,0))</f>
        <v>collectionsexport</v>
      </c>
      <c r="F5" s="95" t="s">
        <v>24</v>
      </c>
      <c r="G5" s="97" t="s">
        <v>98</v>
      </c>
      <c r="H5" s="94"/>
    </row>
    <row r="6" spans="1:8" ht="18" customHeight="1" x14ac:dyDescent="0.25">
      <c r="A6" s="93">
        <v>44663</v>
      </c>
      <c r="B6" s="94" t="s">
        <v>80</v>
      </c>
      <c r="C6" s="94" t="s">
        <v>85</v>
      </c>
      <c r="D6" s="98" t="s">
        <v>47</v>
      </c>
      <c r="E6" s="92" t="str">
        <f>INDEX(Deploy!C$2:C$55, MATCH(Tabla2[[#This Row],[Artif_id]],Deploy!E$2:E$55,0))</f>
        <v>collectionsimport</v>
      </c>
      <c r="F6" s="95" t="s">
        <v>25</v>
      </c>
      <c r="G6" s="97" t="s">
        <v>99</v>
      </c>
      <c r="H6" s="94"/>
    </row>
    <row r="7" spans="1:8" ht="18" customHeight="1" x14ac:dyDescent="0.25">
      <c r="A7" s="93">
        <v>44663</v>
      </c>
      <c r="B7" s="94" t="s">
        <v>80</v>
      </c>
      <c r="C7" s="94" t="s">
        <v>85</v>
      </c>
      <c r="D7" s="98" t="s">
        <v>47</v>
      </c>
      <c r="E7" s="92" t="str">
        <f>INDEX(Deploy!C$2:C$55, MATCH(Tabla2[[#This Row],[Artif_id]],Deploy!E$2:E$55,0))</f>
        <v>collectionsimport</v>
      </c>
      <c r="F7" s="95" t="s">
        <v>26</v>
      </c>
      <c r="G7" s="97" t="s">
        <v>99</v>
      </c>
      <c r="H7" s="94"/>
    </row>
    <row r="8" spans="1:8" ht="18" customHeight="1" x14ac:dyDescent="0.25">
      <c r="A8" s="93">
        <v>44663</v>
      </c>
      <c r="B8" s="94" t="s">
        <v>80</v>
      </c>
      <c r="C8" s="94" t="s">
        <v>85</v>
      </c>
      <c r="D8" s="98" t="s">
        <v>47</v>
      </c>
      <c r="E8" s="92" t="str">
        <f>INDEX(Deploy!C$2:C$55, MATCH(Tabla2[[#This Row],[Artif_id]],Deploy!E$2:E$55,0))</f>
        <v>exportlc</v>
      </c>
      <c r="F8" s="95" t="s">
        <v>27</v>
      </c>
      <c r="G8" s="97" t="s">
        <v>102</v>
      </c>
      <c r="H8" s="94"/>
    </row>
    <row r="9" spans="1:8" ht="18" customHeight="1" x14ac:dyDescent="0.25">
      <c r="A9" s="93">
        <v>44663</v>
      </c>
      <c r="B9" s="94" t="s">
        <v>80</v>
      </c>
      <c r="C9" s="94" t="s">
        <v>85</v>
      </c>
      <c r="D9" s="98" t="s">
        <v>47</v>
      </c>
      <c r="E9" s="92" t="str">
        <f>INDEX(Deploy!C$2:C$55, MATCH(Tabla2[[#This Row],[Artif_id]],Deploy!E$2:E$55,0))</f>
        <v>exportlc</v>
      </c>
      <c r="F9" s="95" t="s">
        <v>29</v>
      </c>
      <c r="G9" s="97" t="s">
        <v>102</v>
      </c>
      <c r="H9" s="94"/>
    </row>
    <row r="10" spans="1:8" ht="18" customHeight="1" x14ac:dyDescent="0.25">
      <c r="A10" s="93">
        <v>44663</v>
      </c>
      <c r="B10" s="94" t="s">
        <v>80</v>
      </c>
      <c r="C10" s="94" t="s">
        <v>85</v>
      </c>
      <c r="D10" s="98" t="s">
        <v>47</v>
      </c>
      <c r="E10" s="92" t="str">
        <f>INDEX(Deploy!C$2:C$55, MATCH(Tabla2[[#This Row],[Artif_id]],Deploy!E$2:E$55,0))</f>
        <v>importlc</v>
      </c>
      <c r="F10" s="95" t="s">
        <v>30</v>
      </c>
      <c r="G10" s="97" t="s">
        <v>51</v>
      </c>
      <c r="H10" s="94"/>
    </row>
    <row r="11" spans="1:8" ht="18" customHeight="1" x14ac:dyDescent="0.25">
      <c r="A11" s="93">
        <v>44663</v>
      </c>
      <c r="B11" s="94" t="s">
        <v>80</v>
      </c>
      <c r="C11" s="94" t="s">
        <v>85</v>
      </c>
      <c r="D11" s="98" t="s">
        <v>47</v>
      </c>
      <c r="E11" s="92" t="str">
        <f>INDEX(Deploy!C$2:C$55, MATCH(Tabla2[[#This Row],[Artif_id]],Deploy!E$2:E$55,0))</f>
        <v>importlc</v>
      </c>
      <c r="F11" s="95" t="s">
        <v>31</v>
      </c>
      <c r="G11" s="97" t="s">
        <v>51</v>
      </c>
      <c r="H11" s="94"/>
    </row>
    <row r="12" spans="1:8" ht="18" customHeight="1" x14ac:dyDescent="0.25">
      <c r="A12" s="93">
        <v>44663</v>
      </c>
      <c r="B12" s="94" t="s">
        <v>80</v>
      </c>
      <c r="C12" s="94" t="s">
        <v>85</v>
      </c>
      <c r="D12" s="98" t="s">
        <v>47</v>
      </c>
      <c r="E12" s="92" t="str">
        <f>INDEX(Deploy!C$2:C$55, MATCH(Tabla2[[#This Row],[Artif_id]],Deploy!E$2:E$55,0))</f>
        <v>stbexport</v>
      </c>
      <c r="F12" s="95" t="s">
        <v>32</v>
      </c>
      <c r="G12" s="97" t="s">
        <v>109</v>
      </c>
      <c r="H12" s="94"/>
    </row>
    <row r="13" spans="1:8" ht="18" customHeight="1" x14ac:dyDescent="0.25">
      <c r="A13" s="93">
        <v>44663</v>
      </c>
      <c r="B13" s="94" t="s">
        <v>80</v>
      </c>
      <c r="C13" s="94" t="s">
        <v>85</v>
      </c>
      <c r="D13" s="98" t="s">
        <v>47</v>
      </c>
      <c r="E13" s="92" t="str">
        <f>INDEX(Deploy!C$2:C$55, MATCH(Tabla2[[#This Row],[Artif_id]],Deploy!E$2:E$55,0))</f>
        <v>stbexport</v>
      </c>
      <c r="F13" s="95" t="s">
        <v>33</v>
      </c>
      <c r="G13" s="97" t="s">
        <v>109</v>
      </c>
      <c r="H13" s="94"/>
    </row>
    <row r="14" spans="1:8" ht="18" customHeight="1" x14ac:dyDescent="0.25">
      <c r="A14" s="93">
        <v>44663</v>
      </c>
      <c r="B14" s="94" t="s">
        <v>80</v>
      </c>
      <c r="C14" s="94" t="s">
        <v>85</v>
      </c>
      <c r="D14" s="98" t="s">
        <v>47</v>
      </c>
      <c r="E14" s="92" t="str">
        <f>INDEX(Deploy!C$2:C$55, MATCH(Tabla2[[#This Row],[Artif_id]],Deploy!E$2:E$55,0))</f>
        <v>stbimport</v>
      </c>
      <c r="F14" s="95" t="s">
        <v>34</v>
      </c>
      <c r="G14" s="97" t="s">
        <v>28</v>
      </c>
      <c r="H14" s="94"/>
    </row>
    <row r="15" spans="1:8" ht="18" customHeight="1" x14ac:dyDescent="0.25">
      <c r="A15" s="93">
        <v>44663</v>
      </c>
      <c r="B15" s="94" t="s">
        <v>80</v>
      </c>
      <c r="C15" s="94" t="s">
        <v>85</v>
      </c>
      <c r="D15" s="98" t="s">
        <v>47</v>
      </c>
      <c r="E15" s="92" t="str">
        <f>INDEX(Deploy!C$2:C$55, MATCH(Tabla2[[#This Row],[Artif_id]],Deploy!E$2:E$55,0))</f>
        <v>stbimport</v>
      </c>
      <c r="F15" s="95" t="s">
        <v>35</v>
      </c>
      <c r="G15" s="97" t="s">
        <v>28</v>
      </c>
      <c r="H15" s="94"/>
    </row>
    <row r="16" spans="1:8" ht="18" customHeight="1" x14ac:dyDescent="0.25">
      <c r="A16" s="93">
        <v>44663</v>
      </c>
      <c r="B16" s="94" t="s">
        <v>80</v>
      </c>
      <c r="C16" s="94" t="s">
        <v>85</v>
      </c>
      <c r="D16" s="98" t="s">
        <v>47</v>
      </c>
      <c r="E16" s="92" t="str">
        <f>INDEX(Deploy!C$2:C$55, MATCH(Tabla2[[#This Row],[Artif_id]],Deploy!E$2:E$55,0))</f>
        <v>loans</v>
      </c>
      <c r="F16" s="95" t="s">
        <v>36</v>
      </c>
      <c r="G16" s="97" t="s">
        <v>106</v>
      </c>
      <c r="H16" s="94"/>
    </row>
    <row r="17" spans="1:8" ht="18" customHeight="1" x14ac:dyDescent="0.25">
      <c r="A17" s="93">
        <v>44663</v>
      </c>
      <c r="B17" s="94" t="s">
        <v>80</v>
      </c>
      <c r="C17" s="94" t="s">
        <v>85</v>
      </c>
      <c r="D17" s="98" t="s">
        <v>47</v>
      </c>
      <c r="E17" s="92" t="str">
        <f>INDEX(Deploy!C$2:C$55, MATCH(Tabla2[[#This Row],[Artif_id]],Deploy!E$2:E$55,0))</f>
        <v>loans</v>
      </c>
      <c r="F17" s="95" t="s">
        <v>37</v>
      </c>
      <c r="G17" s="97" t="s">
        <v>106</v>
      </c>
      <c r="H17" s="94"/>
    </row>
    <row r="18" spans="1:8" ht="18" customHeight="1" x14ac:dyDescent="0.25">
      <c r="A18" s="93">
        <v>44663</v>
      </c>
      <c r="B18" s="94" t="s">
        <v>80</v>
      </c>
      <c r="C18" s="94" t="s">
        <v>85</v>
      </c>
      <c r="D18" s="98" t="s">
        <v>47</v>
      </c>
      <c r="E18" s="92" t="str">
        <f>INDEX(Deploy!C$2:C$55, MATCH(Tabla2[[#This Row],[Artif_id]],Deploy!E$2:E$55,0))</f>
        <v>gtsintegration</v>
      </c>
      <c r="F18" s="95" t="s">
        <v>39</v>
      </c>
      <c r="G18" s="97" t="s">
        <v>104</v>
      </c>
      <c r="H18" s="94"/>
    </row>
    <row r="19" spans="1:8" ht="18" customHeight="1" x14ac:dyDescent="0.25">
      <c r="A19" s="93">
        <v>44663</v>
      </c>
      <c r="B19" s="94" t="s">
        <v>80</v>
      </c>
      <c r="C19" s="94" t="s">
        <v>85</v>
      </c>
      <c r="D19" s="98" t="s">
        <v>47</v>
      </c>
      <c r="E19" s="92" t="str">
        <f>INDEX(Deploy!C$2:C$55, MATCH(Tabla2[[#This Row],[Artif_id]],Deploy!E$2:E$55,0))</f>
        <v>mockgts</v>
      </c>
      <c r="F19" s="95" t="s">
        <v>40</v>
      </c>
      <c r="G19" s="97" t="s">
        <v>108</v>
      </c>
      <c r="H19" s="94"/>
    </row>
    <row r="20" spans="1:8" ht="18" customHeight="1" x14ac:dyDescent="0.25">
      <c r="A20" s="93">
        <v>44663</v>
      </c>
      <c r="B20" s="94" t="s">
        <v>80</v>
      </c>
      <c r="C20" s="94" t="s">
        <v>85</v>
      </c>
      <c r="D20" s="98" t="s">
        <v>47</v>
      </c>
      <c r="E20" s="92" t="str">
        <f>INDEX(Deploy!C$2:C$55, MATCH(Tabla2[[#This Row],[Artif_id]],Deploy!E$2:E$55,0))</f>
        <v>collexpintegration</v>
      </c>
      <c r="F20" s="95" t="s">
        <v>41</v>
      </c>
      <c r="G20" s="97" t="s">
        <v>100</v>
      </c>
      <c r="H20" s="94"/>
    </row>
    <row r="21" spans="1:8" ht="18" customHeight="1" x14ac:dyDescent="0.25">
      <c r="A21" s="93">
        <v>44663</v>
      </c>
      <c r="B21" s="94" t="s">
        <v>80</v>
      </c>
      <c r="C21" s="94" t="s">
        <v>85</v>
      </c>
      <c r="D21" s="98" t="s">
        <v>47</v>
      </c>
      <c r="E21" s="92" t="str">
        <f>INDEX(Deploy!C$2:C$55, MATCH(Tabla2[[#This Row],[Artif_id]],Deploy!E$2:E$55,0))</f>
        <v>collimpintegration</v>
      </c>
      <c r="F21" s="95" t="s">
        <v>42</v>
      </c>
      <c r="G21" s="97" t="s">
        <v>101</v>
      </c>
      <c r="H21" s="94"/>
    </row>
    <row r="22" spans="1:8" ht="18" customHeight="1" x14ac:dyDescent="0.25">
      <c r="A22" s="93">
        <v>44663</v>
      </c>
      <c r="B22" s="94" t="s">
        <v>80</v>
      </c>
      <c r="C22" s="94" t="s">
        <v>85</v>
      </c>
      <c r="D22" s="98" t="s">
        <v>47</v>
      </c>
      <c r="E22" s="92" t="str">
        <f>INDEX(Deploy!C$2:C$55, MATCH(Tabla2[[#This Row],[Artif_id]],Deploy!E$2:E$55,0))</f>
        <v>exportlcintegration</v>
      </c>
      <c r="F22" s="95" t="s">
        <v>43</v>
      </c>
      <c r="G22" s="97" t="s">
        <v>103</v>
      </c>
      <c r="H22" s="94"/>
    </row>
    <row r="23" spans="1:8" ht="18" customHeight="1" x14ac:dyDescent="0.25">
      <c r="A23" s="93">
        <v>44663</v>
      </c>
      <c r="B23" s="94" t="s">
        <v>80</v>
      </c>
      <c r="C23" s="94" t="s">
        <v>85</v>
      </c>
      <c r="D23" s="98" t="s">
        <v>47</v>
      </c>
      <c r="E23" s="92" t="str">
        <f>INDEX(Deploy!C$2:C$55, MATCH(Tabla2[[#This Row],[Artif_id]],Deploy!E$2:E$55,0))</f>
        <v>importlcintegration</v>
      </c>
      <c r="F23" s="95" t="s">
        <v>44</v>
      </c>
      <c r="G23" s="97" t="s">
        <v>105</v>
      </c>
      <c r="H23" s="94"/>
    </row>
    <row r="24" spans="1:8" ht="18" customHeight="1" x14ac:dyDescent="0.25">
      <c r="A24" s="93">
        <v>44663</v>
      </c>
      <c r="B24" s="94" t="s">
        <v>80</v>
      </c>
      <c r="C24" s="94" t="s">
        <v>85</v>
      </c>
      <c r="D24" s="98" t="s">
        <v>47</v>
      </c>
      <c r="E24" s="92" t="str">
        <f>INDEX(Deploy!C$2:C$55, MATCH(Tabla2[[#This Row],[Artif_id]],Deploy!E$2:E$55,0))</f>
        <v>loansintegration</v>
      </c>
      <c r="F24" s="95" t="s">
        <v>45</v>
      </c>
      <c r="G24" s="97" t="s">
        <v>107</v>
      </c>
      <c r="H24" s="94"/>
    </row>
    <row r="25" spans="1:8" ht="18" customHeight="1" x14ac:dyDescent="0.25">
      <c r="A25" s="93">
        <v>44663</v>
      </c>
      <c r="B25" s="94" t="s">
        <v>80</v>
      </c>
      <c r="C25" s="94" t="s">
        <v>85</v>
      </c>
      <c r="D25" s="98" t="s">
        <v>47</v>
      </c>
      <c r="E25" s="92" t="str">
        <f>INDEX(Deploy!C$2:C$55, MATCH(Tabla2[[#This Row],[Artif_id]],Deploy!E$2:E$55,0))</f>
        <v>stbexportintegration</v>
      </c>
      <c r="F25" s="95" t="s">
        <v>46</v>
      </c>
      <c r="G25" s="97" t="s">
        <v>110</v>
      </c>
      <c r="H25" s="94"/>
    </row>
    <row r="26" spans="1:8" ht="18" customHeight="1" x14ac:dyDescent="0.25">
      <c r="A26" s="93">
        <v>44663</v>
      </c>
      <c r="B26" s="94" t="s">
        <v>80</v>
      </c>
      <c r="C26" s="94" t="s">
        <v>85</v>
      </c>
      <c r="D26" s="98" t="s">
        <v>47</v>
      </c>
      <c r="E26" s="92" t="str">
        <f>INDEX(Deploy!C$2:C$55, MATCH(Tabla2[[#This Row],[Artif_id]],Deploy!E$2:E$55,0))</f>
        <v>stbimportintegration</v>
      </c>
      <c r="F26" s="95" t="s">
        <v>48</v>
      </c>
      <c r="G26" s="97" t="s">
        <v>111</v>
      </c>
      <c r="H26" s="94"/>
    </row>
    <row r="27" spans="1:8" ht="18" customHeight="1" x14ac:dyDescent="0.25">
      <c r="A27" s="93">
        <v>44663</v>
      </c>
      <c r="B27" s="94" t="s">
        <v>80</v>
      </c>
      <c r="C27" s="94" t="s">
        <v>85</v>
      </c>
      <c r="D27" s="98" t="s">
        <v>47</v>
      </c>
      <c r="E27" s="92" t="str">
        <f>INDEX(Deploy!C$2:C$55, MATCH(Tabla2[[#This Row],[Artif_id]],Deploy!E$2:E$55,0))</f>
        <v>collectionsexportjobs</v>
      </c>
      <c r="F27" s="95" t="s">
        <v>52</v>
      </c>
      <c r="G27" s="97" t="s">
        <v>98</v>
      </c>
      <c r="H27" s="94"/>
    </row>
    <row r="28" spans="1:8" ht="18" customHeight="1" x14ac:dyDescent="0.25">
      <c r="A28" s="93">
        <v>44670</v>
      </c>
      <c r="B28" s="94" t="s">
        <v>126</v>
      </c>
      <c r="C28" s="94" t="s">
        <v>85</v>
      </c>
      <c r="D28" s="98" t="s">
        <v>125</v>
      </c>
      <c r="E28" s="92" t="str">
        <f>INDEX(Deploy!C$2:C$55, MATCH(Tabla2[[#This Row],[Artif_id]],Deploy!E$2:E$55,0))</f>
        <v>cloud</v>
      </c>
      <c r="F28" s="95" t="s">
        <v>12</v>
      </c>
      <c r="G28" s="97" t="s">
        <v>131</v>
      </c>
      <c r="H28" s="94"/>
    </row>
    <row r="29" spans="1:8" ht="18" customHeight="1" x14ac:dyDescent="0.25">
      <c r="A29" s="93">
        <v>44670</v>
      </c>
      <c r="B29" s="94" t="s">
        <v>126</v>
      </c>
      <c r="C29" s="94" t="s">
        <v>85</v>
      </c>
      <c r="D29" s="98" t="s">
        <v>125</v>
      </c>
      <c r="E29" s="92" t="str">
        <f>INDEX(Deploy!C$2:C$55, MATCH(Tabla2[[#This Row],[Artif_id]],Deploy!E$2:E$55,0))</f>
        <v>cloud</v>
      </c>
      <c r="F29" s="95" t="s">
        <v>13</v>
      </c>
      <c r="G29" s="97" t="s">
        <v>131</v>
      </c>
      <c r="H29" s="94"/>
    </row>
    <row r="30" spans="1:8" ht="18" customHeight="1" x14ac:dyDescent="0.25">
      <c r="A30" s="93">
        <v>44670</v>
      </c>
      <c r="B30" s="94" t="s">
        <v>126</v>
      </c>
      <c r="C30" s="94" t="s">
        <v>85</v>
      </c>
      <c r="D30" s="98" t="s">
        <v>125</v>
      </c>
      <c r="E30" s="92" t="str">
        <f>INDEX(Deploy!C$2:C$55, MATCH(Tabla2[[#This Row],[Artif_id]],Deploy!E$2:E$55,0))</f>
        <v>scheduler</v>
      </c>
      <c r="F30" s="95" t="s">
        <v>15</v>
      </c>
      <c r="G30" s="97" t="s">
        <v>132</v>
      </c>
      <c r="H30" s="94"/>
    </row>
    <row r="31" spans="1:8" ht="18" customHeight="1" x14ac:dyDescent="0.25">
      <c r="A31" s="93">
        <v>44670</v>
      </c>
      <c r="B31" s="94" t="s">
        <v>126</v>
      </c>
      <c r="C31" s="94" t="s">
        <v>85</v>
      </c>
      <c r="D31" s="98" t="s">
        <v>125</v>
      </c>
      <c r="E31" s="92" t="str">
        <f>INDEX(Deploy!C$2:C$55, MATCH(Tabla2[[#This Row],[Artif_id]],Deploy!E$2:E$55,0))</f>
        <v>scheduler</v>
      </c>
      <c r="F31" s="95" t="s">
        <v>16</v>
      </c>
      <c r="G31" s="97" t="s">
        <v>132</v>
      </c>
      <c r="H31" s="94"/>
    </row>
    <row r="32" spans="1:8" ht="18" customHeight="1" x14ac:dyDescent="0.25">
      <c r="A32" s="93">
        <v>44670</v>
      </c>
      <c r="B32" s="94" t="s">
        <v>126</v>
      </c>
      <c r="C32" s="94" t="s">
        <v>85</v>
      </c>
      <c r="D32" s="98" t="s">
        <v>125</v>
      </c>
      <c r="E32" s="92" t="str">
        <f>INDEX(Deploy!C$2:C$55, MATCH(Tabla2[[#This Row],[Artif_id]],Deploy!E$2:E$55,0))</f>
        <v>collectionsexport</v>
      </c>
      <c r="F32" s="95" t="s">
        <v>23</v>
      </c>
      <c r="G32" s="97" t="s">
        <v>133</v>
      </c>
      <c r="H32" s="94"/>
    </row>
    <row r="33" spans="1:8" ht="18" customHeight="1" x14ac:dyDescent="0.25">
      <c r="A33" s="93">
        <v>44670</v>
      </c>
      <c r="B33" s="94" t="s">
        <v>126</v>
      </c>
      <c r="C33" s="94" t="s">
        <v>85</v>
      </c>
      <c r="D33" s="98" t="s">
        <v>125</v>
      </c>
      <c r="E33" s="92" t="str">
        <f>INDEX(Deploy!C$2:C$55, MATCH(Tabla2[[#This Row],[Artif_id]],Deploy!E$2:E$55,0))</f>
        <v>collectionsexport</v>
      </c>
      <c r="F33" s="95" t="s">
        <v>24</v>
      </c>
      <c r="G33" s="97" t="s">
        <v>133</v>
      </c>
      <c r="H33" s="94"/>
    </row>
    <row r="34" spans="1:8" ht="18" customHeight="1" x14ac:dyDescent="0.25">
      <c r="A34" s="93">
        <v>44670</v>
      </c>
      <c r="B34" s="94" t="s">
        <v>126</v>
      </c>
      <c r="C34" s="94" t="s">
        <v>85</v>
      </c>
      <c r="D34" s="98" t="s">
        <v>125</v>
      </c>
      <c r="E34" s="92" t="str">
        <f>INDEX(Deploy!C$2:C$55, MATCH(Tabla2[[#This Row],[Artif_id]],Deploy!E$2:E$55,0))</f>
        <v>collectionsimport</v>
      </c>
      <c r="F34" s="95" t="s">
        <v>25</v>
      </c>
      <c r="G34" s="97" t="s">
        <v>134</v>
      </c>
      <c r="H34" s="94"/>
    </row>
    <row r="35" spans="1:8" ht="18" customHeight="1" x14ac:dyDescent="0.25">
      <c r="A35" s="93">
        <v>44670</v>
      </c>
      <c r="B35" s="94" t="s">
        <v>126</v>
      </c>
      <c r="C35" s="94" t="s">
        <v>85</v>
      </c>
      <c r="D35" s="98" t="s">
        <v>125</v>
      </c>
      <c r="E35" s="92" t="str">
        <f>INDEX(Deploy!C$2:C$55, MATCH(Tabla2[[#This Row],[Artif_id]],Deploy!E$2:E$55,0))</f>
        <v>collectionsimport</v>
      </c>
      <c r="F35" s="95" t="s">
        <v>26</v>
      </c>
      <c r="G35" s="97" t="s">
        <v>134</v>
      </c>
      <c r="H35" s="94"/>
    </row>
    <row r="36" spans="1:8" ht="18" customHeight="1" x14ac:dyDescent="0.25">
      <c r="A36" s="93">
        <v>44670</v>
      </c>
      <c r="B36" s="94" t="s">
        <v>126</v>
      </c>
      <c r="C36" s="94" t="s">
        <v>85</v>
      </c>
      <c r="D36" s="98" t="s">
        <v>125</v>
      </c>
      <c r="E36" s="92" t="str">
        <f>INDEX(Deploy!C$2:C$55, MATCH(Tabla2[[#This Row],[Artif_id]],Deploy!E$2:E$55,0))</f>
        <v>exportlc</v>
      </c>
      <c r="F36" s="95" t="s">
        <v>27</v>
      </c>
      <c r="G36" s="97" t="s">
        <v>28</v>
      </c>
      <c r="H36" s="94"/>
    </row>
    <row r="37" spans="1:8" ht="18" customHeight="1" x14ac:dyDescent="0.25">
      <c r="A37" s="93">
        <v>44670</v>
      </c>
      <c r="B37" s="94" t="s">
        <v>126</v>
      </c>
      <c r="C37" s="94" t="s">
        <v>85</v>
      </c>
      <c r="D37" s="98" t="s">
        <v>125</v>
      </c>
      <c r="E37" s="92" t="str">
        <f>INDEX(Deploy!C$2:C$55, MATCH(Tabla2[[#This Row],[Artif_id]],Deploy!E$2:E$55,0))</f>
        <v>exportlc</v>
      </c>
      <c r="F37" s="95" t="s">
        <v>29</v>
      </c>
      <c r="G37" s="97" t="s">
        <v>28</v>
      </c>
      <c r="H37" s="94"/>
    </row>
    <row r="38" spans="1:8" ht="18" customHeight="1" x14ac:dyDescent="0.25">
      <c r="A38" s="93">
        <v>44670</v>
      </c>
      <c r="B38" s="94" t="s">
        <v>126</v>
      </c>
      <c r="C38" s="94" t="s">
        <v>85</v>
      </c>
      <c r="D38" s="98" t="s">
        <v>125</v>
      </c>
      <c r="E38" s="92" t="str">
        <f>INDEX(Deploy!C$2:C$55, MATCH(Tabla2[[#This Row],[Artif_id]],Deploy!E$2:E$55,0))</f>
        <v>importlc</v>
      </c>
      <c r="F38" s="95" t="s">
        <v>30</v>
      </c>
      <c r="G38" s="97" t="s">
        <v>135</v>
      </c>
      <c r="H38" s="94"/>
    </row>
    <row r="39" spans="1:8" ht="18" customHeight="1" x14ac:dyDescent="0.25">
      <c r="A39" s="93">
        <v>44670</v>
      </c>
      <c r="B39" s="94" t="s">
        <v>126</v>
      </c>
      <c r="C39" s="94" t="s">
        <v>85</v>
      </c>
      <c r="D39" s="98" t="s">
        <v>125</v>
      </c>
      <c r="E39" s="92" t="str">
        <f>INDEX(Deploy!C$2:C$55, MATCH(Tabla2[[#This Row],[Artif_id]],Deploy!E$2:E$55,0))</f>
        <v>importlc</v>
      </c>
      <c r="F39" s="95" t="s">
        <v>31</v>
      </c>
      <c r="G39" s="97" t="s">
        <v>135</v>
      </c>
      <c r="H39" s="94"/>
    </row>
    <row r="40" spans="1:8" ht="18" customHeight="1" x14ac:dyDescent="0.25">
      <c r="A40" s="93">
        <v>44670</v>
      </c>
      <c r="B40" s="94" t="s">
        <v>126</v>
      </c>
      <c r="C40" s="94" t="s">
        <v>85</v>
      </c>
      <c r="D40" s="98" t="s">
        <v>125</v>
      </c>
      <c r="E40" s="92" t="str">
        <f>INDEX(Deploy!C$2:C$55, MATCH(Tabla2[[#This Row],[Artif_id]],Deploy!E$2:E$55,0))</f>
        <v>stbexport</v>
      </c>
      <c r="F40" s="95" t="s">
        <v>32</v>
      </c>
      <c r="G40" s="97" t="s">
        <v>136</v>
      </c>
      <c r="H40" s="94"/>
    </row>
    <row r="41" spans="1:8" ht="18" customHeight="1" x14ac:dyDescent="0.25">
      <c r="A41" s="93">
        <v>44670</v>
      </c>
      <c r="B41" s="94" t="s">
        <v>126</v>
      </c>
      <c r="C41" s="94" t="s">
        <v>85</v>
      </c>
      <c r="D41" s="98" t="s">
        <v>125</v>
      </c>
      <c r="E41" s="92" t="str">
        <f>INDEX(Deploy!C$2:C$55, MATCH(Tabla2[[#This Row],[Artif_id]],Deploy!E$2:E$55,0))</f>
        <v>stbexport</v>
      </c>
      <c r="F41" s="95" t="s">
        <v>33</v>
      </c>
      <c r="G41" s="97" t="s">
        <v>136</v>
      </c>
      <c r="H41" s="94"/>
    </row>
    <row r="42" spans="1:8" ht="18" customHeight="1" x14ac:dyDescent="0.25">
      <c r="A42" s="93">
        <v>44670</v>
      </c>
      <c r="B42" s="94" t="s">
        <v>126</v>
      </c>
      <c r="C42" s="94" t="s">
        <v>85</v>
      </c>
      <c r="D42" s="98" t="s">
        <v>125</v>
      </c>
      <c r="E42" s="92" t="str">
        <f>INDEX(Deploy!C$2:C$55, MATCH(Tabla2[[#This Row],[Artif_id]],Deploy!E$2:E$55,0))</f>
        <v>stbimport</v>
      </c>
      <c r="F42" s="95" t="s">
        <v>34</v>
      </c>
      <c r="G42" s="97" t="s">
        <v>137</v>
      </c>
      <c r="H42" s="94"/>
    </row>
    <row r="43" spans="1:8" ht="18" customHeight="1" x14ac:dyDescent="0.25">
      <c r="A43" s="93">
        <v>44670</v>
      </c>
      <c r="B43" s="94" t="s">
        <v>126</v>
      </c>
      <c r="C43" s="94" t="s">
        <v>85</v>
      </c>
      <c r="D43" s="98" t="s">
        <v>125</v>
      </c>
      <c r="E43" s="92" t="str">
        <f>INDEX(Deploy!C$2:C$55, MATCH(Tabla2[[#This Row],[Artif_id]],Deploy!E$2:E$55,0))</f>
        <v>stbimport</v>
      </c>
      <c r="F43" s="95" t="s">
        <v>35</v>
      </c>
      <c r="G43" s="97" t="s">
        <v>137</v>
      </c>
      <c r="H43" s="94"/>
    </row>
    <row r="44" spans="1:8" ht="18" customHeight="1" x14ac:dyDescent="0.25">
      <c r="A44" s="93">
        <v>44670</v>
      </c>
      <c r="B44" s="94" t="s">
        <v>126</v>
      </c>
      <c r="C44" s="94" t="s">
        <v>85</v>
      </c>
      <c r="D44" s="98" t="s">
        <v>125</v>
      </c>
      <c r="E44" s="92" t="str">
        <f>INDEX(Deploy!C$2:C$55, MATCH(Tabla2[[#This Row],[Artif_id]],Deploy!E$2:E$55,0))</f>
        <v>loans</v>
      </c>
      <c r="F44" s="95" t="s">
        <v>36</v>
      </c>
      <c r="G44" s="97" t="s">
        <v>136</v>
      </c>
      <c r="H44" s="94"/>
    </row>
    <row r="45" spans="1:8" ht="18" customHeight="1" x14ac:dyDescent="0.25">
      <c r="A45" s="93">
        <v>44670</v>
      </c>
      <c r="B45" s="94" t="s">
        <v>126</v>
      </c>
      <c r="C45" s="94" t="s">
        <v>85</v>
      </c>
      <c r="D45" s="98" t="s">
        <v>125</v>
      </c>
      <c r="E45" s="92" t="str">
        <f>INDEX(Deploy!C$2:C$55, MATCH(Tabla2[[#This Row],[Artif_id]],Deploy!E$2:E$55,0))</f>
        <v>loans</v>
      </c>
      <c r="F45" s="95" t="s">
        <v>37</v>
      </c>
      <c r="G45" s="97" t="s">
        <v>136</v>
      </c>
      <c r="H45" s="94"/>
    </row>
    <row r="46" spans="1:8" ht="18" customHeight="1" x14ac:dyDescent="0.25">
      <c r="A46" s="93">
        <v>44670</v>
      </c>
      <c r="B46" s="94" t="s">
        <v>126</v>
      </c>
      <c r="C46" s="94" t="s">
        <v>85</v>
      </c>
      <c r="D46" s="98" t="s">
        <v>125</v>
      </c>
      <c r="E46" s="92" t="str">
        <f>INDEX(Deploy!C$2:C$55, MATCH(Tabla2[[#This Row],[Artif_id]],Deploy!E$2:E$55,0))</f>
        <v>gtsintegration</v>
      </c>
      <c r="F46" s="95" t="s">
        <v>39</v>
      </c>
      <c r="G46" s="97" t="s">
        <v>138</v>
      </c>
      <c r="H46" s="94"/>
    </row>
    <row r="47" spans="1:8" ht="18" customHeight="1" x14ac:dyDescent="0.25">
      <c r="A47" s="93">
        <v>44670</v>
      </c>
      <c r="B47" s="94" t="s">
        <v>126</v>
      </c>
      <c r="C47" s="94" t="s">
        <v>85</v>
      </c>
      <c r="D47" s="98" t="s">
        <v>125</v>
      </c>
      <c r="E47" s="92" t="str">
        <f>INDEX(Deploy!C$2:C$55, MATCH(Tabla2[[#This Row],[Artif_id]],Deploy!E$2:E$55,0))</f>
        <v>mockgts</v>
      </c>
      <c r="F47" s="95" t="s">
        <v>40</v>
      </c>
      <c r="G47" s="97" t="s">
        <v>139</v>
      </c>
      <c r="H47" s="94"/>
    </row>
    <row r="48" spans="1:8" ht="18" customHeight="1" x14ac:dyDescent="0.25">
      <c r="A48" s="93">
        <v>44670</v>
      </c>
      <c r="B48" s="94" t="s">
        <v>126</v>
      </c>
      <c r="C48" s="94" t="s">
        <v>85</v>
      </c>
      <c r="D48" s="98" t="s">
        <v>125</v>
      </c>
      <c r="E48" s="92" t="str">
        <f>INDEX(Deploy!C$2:C$55, MATCH(Tabla2[[#This Row],[Artif_id]],Deploy!E$2:E$55,0))</f>
        <v>collexpintegration</v>
      </c>
      <c r="F48" s="95" t="s">
        <v>41</v>
      </c>
      <c r="G48" s="97" t="s">
        <v>140</v>
      </c>
      <c r="H48" s="94"/>
    </row>
    <row r="49" spans="1:8" ht="18" customHeight="1" x14ac:dyDescent="0.25">
      <c r="A49" s="93">
        <v>44670</v>
      </c>
      <c r="B49" s="94" t="s">
        <v>126</v>
      </c>
      <c r="C49" s="94" t="s">
        <v>85</v>
      </c>
      <c r="D49" s="98" t="s">
        <v>125</v>
      </c>
      <c r="E49" s="92" t="str">
        <f>INDEX(Deploy!C$2:C$55, MATCH(Tabla2[[#This Row],[Artif_id]],Deploy!E$2:E$55,0))</f>
        <v>collimpintegration</v>
      </c>
      <c r="F49" s="95" t="s">
        <v>42</v>
      </c>
      <c r="G49" s="97" t="s">
        <v>108</v>
      </c>
      <c r="H49" s="94"/>
    </row>
    <row r="50" spans="1:8" ht="18" customHeight="1" x14ac:dyDescent="0.25">
      <c r="A50" s="93">
        <v>44670</v>
      </c>
      <c r="B50" s="94" t="s">
        <v>126</v>
      </c>
      <c r="C50" s="94" t="s">
        <v>85</v>
      </c>
      <c r="D50" s="98" t="s">
        <v>125</v>
      </c>
      <c r="E50" s="92" t="str">
        <f>INDEX(Deploy!C$2:C$55, MATCH(Tabla2[[#This Row],[Artif_id]],Deploy!E$2:E$55,0))</f>
        <v>exportlcintegration</v>
      </c>
      <c r="F50" s="95" t="s">
        <v>43</v>
      </c>
      <c r="G50" s="97" t="s">
        <v>141</v>
      </c>
      <c r="H50" s="94"/>
    </row>
    <row r="51" spans="1:8" ht="18" customHeight="1" x14ac:dyDescent="0.25">
      <c r="A51" s="93">
        <v>44670</v>
      </c>
      <c r="B51" s="94" t="s">
        <v>126</v>
      </c>
      <c r="C51" s="94" t="s">
        <v>85</v>
      </c>
      <c r="D51" s="98" t="s">
        <v>125</v>
      </c>
      <c r="E51" s="92" t="str">
        <f>INDEX(Deploy!C$2:C$55, MATCH(Tabla2[[#This Row],[Artif_id]],Deploy!E$2:E$55,0))</f>
        <v>importlcintegration</v>
      </c>
      <c r="F51" s="95" t="s">
        <v>44</v>
      </c>
      <c r="G51" s="97" t="s">
        <v>142</v>
      </c>
      <c r="H51" s="94"/>
    </row>
    <row r="52" spans="1:8" ht="18" customHeight="1" x14ac:dyDescent="0.25">
      <c r="A52" s="93">
        <v>44670</v>
      </c>
      <c r="B52" s="94" t="s">
        <v>126</v>
      </c>
      <c r="C52" s="94" t="s">
        <v>85</v>
      </c>
      <c r="D52" s="98" t="s">
        <v>125</v>
      </c>
      <c r="E52" s="92" t="str">
        <f>INDEX(Deploy!C$2:C$55, MATCH(Tabla2[[#This Row],[Artif_id]],Deploy!E$2:E$55,0))</f>
        <v>loansintegration</v>
      </c>
      <c r="F52" s="95" t="s">
        <v>45</v>
      </c>
      <c r="G52" s="97" t="s">
        <v>143</v>
      </c>
      <c r="H52" s="94"/>
    </row>
    <row r="53" spans="1:8" ht="18" customHeight="1" x14ac:dyDescent="0.25">
      <c r="A53" s="93">
        <v>44670</v>
      </c>
      <c r="B53" s="94" t="s">
        <v>126</v>
      </c>
      <c r="C53" s="94" t="s">
        <v>85</v>
      </c>
      <c r="D53" s="98" t="s">
        <v>125</v>
      </c>
      <c r="E53" s="92" t="str">
        <f>INDEX(Deploy!C$2:C$55, MATCH(Tabla2[[#This Row],[Artif_id]],Deploy!E$2:E$55,0))</f>
        <v>stbexportintegration</v>
      </c>
      <c r="F53" s="95" t="s">
        <v>46</v>
      </c>
      <c r="G53" s="97" t="s">
        <v>47</v>
      </c>
      <c r="H53" s="94"/>
    </row>
    <row r="54" spans="1:8" ht="18" customHeight="1" x14ac:dyDescent="0.25">
      <c r="A54" s="93">
        <v>44670</v>
      </c>
      <c r="B54" s="94" t="s">
        <v>126</v>
      </c>
      <c r="C54" s="94" t="s">
        <v>85</v>
      </c>
      <c r="D54" s="98" t="s">
        <v>125</v>
      </c>
      <c r="E54" s="92" t="str">
        <f>INDEX(Deploy!C$2:C$55, MATCH(Tabla2[[#This Row],[Artif_id]],Deploy!E$2:E$55,0))</f>
        <v>stbimportintegration</v>
      </c>
      <c r="F54" s="95" t="s">
        <v>48</v>
      </c>
      <c r="G54" s="97" t="s">
        <v>144</v>
      </c>
      <c r="H54" s="94"/>
    </row>
    <row r="55" spans="1:8" ht="18" customHeight="1" x14ac:dyDescent="0.25">
      <c r="A55" s="93">
        <v>44670</v>
      </c>
      <c r="B55" s="94" t="s">
        <v>126</v>
      </c>
      <c r="C55" s="94" t="s">
        <v>85</v>
      </c>
      <c r="D55" s="98" t="s">
        <v>125</v>
      </c>
      <c r="E55" s="92" t="str">
        <f>INDEX(Deploy!C$2:C$55, MATCH(Tabla2[[#This Row],[Artif_id]],Deploy!E$2:E$55,0))</f>
        <v>jobsintegration</v>
      </c>
      <c r="F55" s="95" t="s">
        <v>49</v>
      </c>
      <c r="G55" s="97" t="s">
        <v>145</v>
      </c>
      <c r="H55" s="94"/>
    </row>
    <row r="56" spans="1:8" ht="18" customHeight="1" x14ac:dyDescent="0.25">
      <c r="A56" s="113">
        <v>44670</v>
      </c>
      <c r="B56" s="114" t="s">
        <v>126</v>
      </c>
      <c r="C56" s="114" t="s">
        <v>86</v>
      </c>
      <c r="D56" s="115" t="s">
        <v>148</v>
      </c>
      <c r="E56" s="111" t="str">
        <f>INDEX(Deploy!C$2:C$55, MATCH(Tabla2[[#This Row],[Artif_id]],Deploy!E$2:E$55,0))</f>
        <v>cloud</v>
      </c>
      <c r="F56" s="116" t="s">
        <v>12</v>
      </c>
      <c r="G56" s="112" t="s">
        <v>149</v>
      </c>
      <c r="H56" s="114"/>
    </row>
    <row r="57" spans="1:8" ht="18" customHeight="1" x14ac:dyDescent="0.25">
      <c r="A57" s="113">
        <v>44670</v>
      </c>
      <c r="B57" s="114" t="s">
        <v>126</v>
      </c>
      <c r="C57" s="114" t="s">
        <v>86</v>
      </c>
      <c r="D57" s="115" t="s">
        <v>148</v>
      </c>
      <c r="E57" s="111" t="str">
        <f>INDEX(Deploy!C$2:C$55, MATCH(Tabla2[[#This Row],[Artif_id]],Deploy!E$2:E$55,0))</f>
        <v>cloud</v>
      </c>
      <c r="F57" s="116" t="s">
        <v>13</v>
      </c>
      <c r="G57" s="112" t="s">
        <v>149</v>
      </c>
      <c r="H57" s="114"/>
    </row>
    <row r="58" spans="1:8" ht="18" customHeight="1" x14ac:dyDescent="0.25">
      <c r="A58" s="113">
        <v>44670</v>
      </c>
      <c r="B58" s="114" t="s">
        <v>126</v>
      </c>
      <c r="C58" s="114" t="s">
        <v>86</v>
      </c>
      <c r="D58" s="115" t="s">
        <v>148</v>
      </c>
      <c r="E58" s="111" t="str">
        <f>INDEX(Deploy!C$2:C$55, MATCH(Tabla2[[#This Row],[Artif_id]],Deploy!E$2:E$55,0))</f>
        <v>gtsintegration</v>
      </c>
      <c r="F58" s="116" t="s">
        <v>39</v>
      </c>
      <c r="G58" s="112" t="s">
        <v>151</v>
      </c>
      <c r="H58" s="114"/>
    </row>
    <row r="59" spans="1:8" ht="18" customHeight="1" x14ac:dyDescent="0.25">
      <c r="A59" s="113">
        <v>44670</v>
      </c>
      <c r="B59" s="114" t="s">
        <v>126</v>
      </c>
      <c r="C59" s="114" t="s">
        <v>86</v>
      </c>
      <c r="D59" s="115" t="s">
        <v>148</v>
      </c>
      <c r="E59" s="111" t="str">
        <f>INDEX(Deploy!C$2:C$55, MATCH(Tabla2[[#This Row],[Artif_id]],Deploy!E$2:E$55,0))</f>
        <v>collexpintegration</v>
      </c>
      <c r="F59" s="116" t="s">
        <v>41</v>
      </c>
      <c r="G59" s="112" t="s">
        <v>150</v>
      </c>
      <c r="H59" s="114"/>
    </row>
    <row r="60" spans="1:8" ht="18" customHeight="1" x14ac:dyDescent="0.25">
      <c r="A60" s="113">
        <v>44670</v>
      </c>
      <c r="B60" s="114" t="s">
        <v>126</v>
      </c>
      <c r="C60" s="114" t="s">
        <v>86</v>
      </c>
      <c r="D60" s="115" t="s">
        <v>148</v>
      </c>
      <c r="E60" s="111" t="str">
        <f>INDEX(Deploy!C$2:C$55, MATCH(Tabla2[[#This Row],[Artif_id]],Deploy!E$2:E$55,0))</f>
        <v>collimpintegration</v>
      </c>
      <c r="F60" s="116" t="s">
        <v>42</v>
      </c>
      <c r="G60" s="112" t="s">
        <v>105</v>
      </c>
      <c r="H60" s="114"/>
    </row>
    <row r="61" spans="1:8" ht="18" customHeight="1" x14ac:dyDescent="0.25">
      <c r="A61" s="113">
        <v>44670</v>
      </c>
      <c r="B61" s="114" t="s">
        <v>126</v>
      </c>
      <c r="C61" s="114" t="s">
        <v>86</v>
      </c>
      <c r="D61" s="115" t="s">
        <v>148</v>
      </c>
      <c r="E61" s="111" t="str">
        <f>INDEX(Deploy!C$2:C$55, MATCH(Tabla2[[#This Row],[Artif_id]],Deploy!E$2:E$55,0))</f>
        <v>stbimportintegration</v>
      </c>
      <c r="F61" s="116" t="s">
        <v>48</v>
      </c>
      <c r="G61" s="112" t="s">
        <v>152</v>
      </c>
      <c r="H61" s="114"/>
    </row>
    <row r="62" spans="1:8" ht="18" customHeight="1" x14ac:dyDescent="0.25">
      <c r="A62" s="113">
        <v>44670</v>
      </c>
      <c r="B62" s="114" t="s">
        <v>126</v>
      </c>
      <c r="C62" s="114" t="s">
        <v>86</v>
      </c>
      <c r="D62" s="115" t="s">
        <v>148</v>
      </c>
      <c r="E62" s="111" t="str">
        <f>INDEX(Deploy!C$2:C$55, MATCH(Tabla2[[#This Row],[Artif_id]],Deploy!E$2:E$55,0))</f>
        <v>activityjobs</v>
      </c>
      <c r="F62" s="116" t="s">
        <v>60</v>
      </c>
      <c r="G62" s="112" t="s">
        <v>146</v>
      </c>
      <c r="H62" s="114"/>
    </row>
    <row r="63" spans="1:8" ht="18" customHeight="1" x14ac:dyDescent="0.25">
      <c r="A63" s="113">
        <v>44670</v>
      </c>
      <c r="B63" s="114" t="s">
        <v>126</v>
      </c>
      <c r="C63" s="114" t="s">
        <v>85</v>
      </c>
      <c r="D63" s="115" t="s">
        <v>153</v>
      </c>
      <c r="E63" s="111" t="str">
        <f>INDEX(Deploy!C$2:C$55, MATCH(Tabla2[[#This Row],[Artif_id]],Deploy!E$2:E$55,0))</f>
        <v>cloud</v>
      </c>
      <c r="F63" s="116" t="s">
        <v>12</v>
      </c>
      <c r="G63" s="112" t="s">
        <v>97</v>
      </c>
      <c r="H63" s="114"/>
    </row>
    <row r="64" spans="1:8" ht="18" customHeight="1" x14ac:dyDescent="0.25">
      <c r="A64" s="113">
        <v>44670</v>
      </c>
      <c r="B64" s="114" t="s">
        <v>126</v>
      </c>
      <c r="C64" s="114" t="s">
        <v>85</v>
      </c>
      <c r="D64" s="115" t="s">
        <v>153</v>
      </c>
      <c r="E64" s="111" t="str">
        <f>INDEX(Deploy!C$2:C$55, MATCH(Tabla2[[#This Row],[Artif_id]],Deploy!E$2:E$55,0))</f>
        <v>cloud</v>
      </c>
      <c r="F64" s="116" t="s">
        <v>13</v>
      </c>
      <c r="G64" s="112" t="s">
        <v>97</v>
      </c>
      <c r="H64" s="114"/>
    </row>
    <row r="65" spans="1:8" ht="18" customHeight="1" x14ac:dyDescent="0.25">
      <c r="A65" s="113">
        <v>44670</v>
      </c>
      <c r="B65" s="114" t="s">
        <v>126</v>
      </c>
      <c r="C65" s="114" t="s">
        <v>85</v>
      </c>
      <c r="D65" s="115" t="s">
        <v>153</v>
      </c>
      <c r="E65" s="111" t="str">
        <f>INDEX(Deploy!C$2:C$55, MATCH(Tabla2[[#This Row],[Artif_id]],Deploy!E$2:E$55,0))</f>
        <v>collectionsexport</v>
      </c>
      <c r="F65" s="116" t="s">
        <v>23</v>
      </c>
      <c r="G65" s="112" t="s">
        <v>98</v>
      </c>
      <c r="H65" s="114"/>
    </row>
    <row r="66" spans="1:8" ht="18" customHeight="1" x14ac:dyDescent="0.25">
      <c r="A66" s="113">
        <v>44670</v>
      </c>
      <c r="B66" s="114" t="s">
        <v>126</v>
      </c>
      <c r="C66" s="114" t="s">
        <v>85</v>
      </c>
      <c r="D66" s="115" t="s">
        <v>153</v>
      </c>
      <c r="E66" s="111" t="str">
        <f>INDEX(Deploy!C$2:C$55, MATCH(Tabla2[[#This Row],[Artif_id]],Deploy!E$2:E$55,0))</f>
        <v>collectionsexport</v>
      </c>
      <c r="F66" s="116" t="s">
        <v>24</v>
      </c>
      <c r="G66" s="112" t="s">
        <v>98</v>
      </c>
      <c r="H66" s="114"/>
    </row>
    <row r="67" spans="1:8" ht="18" customHeight="1" x14ac:dyDescent="0.25">
      <c r="A67" s="113">
        <v>44670</v>
      </c>
      <c r="B67" s="114" t="s">
        <v>126</v>
      </c>
      <c r="C67" s="114" t="s">
        <v>85</v>
      </c>
      <c r="D67" s="115" t="s">
        <v>153</v>
      </c>
      <c r="E67" s="111" t="str">
        <f>INDEX(Deploy!C$2:C$55, MATCH(Tabla2[[#This Row],[Artif_id]],Deploy!E$2:E$55,0))</f>
        <v>collectionsimport</v>
      </c>
      <c r="F67" s="116" t="s">
        <v>25</v>
      </c>
      <c r="G67" s="112" t="s">
        <v>99</v>
      </c>
      <c r="H67" s="114"/>
    </row>
    <row r="68" spans="1:8" ht="18" customHeight="1" x14ac:dyDescent="0.25">
      <c r="A68" s="113">
        <v>44670</v>
      </c>
      <c r="B68" s="114" t="s">
        <v>126</v>
      </c>
      <c r="C68" s="114" t="s">
        <v>85</v>
      </c>
      <c r="D68" s="115" t="s">
        <v>153</v>
      </c>
      <c r="E68" s="111" t="str">
        <f>INDEX(Deploy!C$2:C$55, MATCH(Tabla2[[#This Row],[Artif_id]],Deploy!E$2:E$55,0))</f>
        <v>collectionsimport</v>
      </c>
      <c r="F68" s="116" t="s">
        <v>26</v>
      </c>
      <c r="G68" s="112" t="s">
        <v>99</v>
      </c>
      <c r="H68" s="114"/>
    </row>
    <row r="69" spans="1:8" ht="18" customHeight="1" x14ac:dyDescent="0.25">
      <c r="A69" s="113">
        <v>44670</v>
      </c>
      <c r="B69" s="114" t="s">
        <v>126</v>
      </c>
      <c r="C69" s="114" t="s">
        <v>85</v>
      </c>
      <c r="D69" s="115" t="s">
        <v>153</v>
      </c>
      <c r="E69" s="111" t="str">
        <f>INDEX(Deploy!C$2:C$55, MATCH(Tabla2[[#This Row],[Artif_id]],Deploy!E$2:E$55,0))</f>
        <v>exportlc</v>
      </c>
      <c r="F69" s="116" t="s">
        <v>27</v>
      </c>
      <c r="G69" s="112" t="s">
        <v>102</v>
      </c>
      <c r="H69" s="114"/>
    </row>
    <row r="70" spans="1:8" ht="18" customHeight="1" x14ac:dyDescent="0.25">
      <c r="A70" s="113">
        <v>44670</v>
      </c>
      <c r="B70" s="114" t="s">
        <v>126</v>
      </c>
      <c r="C70" s="114" t="s">
        <v>85</v>
      </c>
      <c r="D70" s="115" t="s">
        <v>153</v>
      </c>
      <c r="E70" s="111" t="str">
        <f>INDEX(Deploy!C$2:C$55, MATCH(Tabla2[[#This Row],[Artif_id]],Deploy!E$2:E$55,0))</f>
        <v>exportlc</v>
      </c>
      <c r="F70" s="116" t="s">
        <v>29</v>
      </c>
      <c r="G70" s="112" t="s">
        <v>102</v>
      </c>
      <c r="H70" s="114"/>
    </row>
    <row r="71" spans="1:8" ht="18" customHeight="1" x14ac:dyDescent="0.25">
      <c r="A71" s="113">
        <v>44670</v>
      </c>
      <c r="B71" s="114" t="s">
        <v>126</v>
      </c>
      <c r="C71" s="114" t="s">
        <v>85</v>
      </c>
      <c r="D71" s="115" t="s">
        <v>153</v>
      </c>
      <c r="E71" s="111" t="str">
        <f>INDEX(Deploy!C$2:C$55, MATCH(Tabla2[[#This Row],[Artif_id]],Deploy!E$2:E$55,0))</f>
        <v>importlc</v>
      </c>
      <c r="F71" s="116" t="s">
        <v>30</v>
      </c>
      <c r="G71" s="112" t="s">
        <v>51</v>
      </c>
      <c r="H71" s="114"/>
    </row>
    <row r="72" spans="1:8" ht="18" customHeight="1" x14ac:dyDescent="0.25">
      <c r="A72" s="113">
        <v>44670</v>
      </c>
      <c r="B72" s="114" t="s">
        <v>126</v>
      </c>
      <c r="C72" s="114" t="s">
        <v>85</v>
      </c>
      <c r="D72" s="115" t="s">
        <v>153</v>
      </c>
      <c r="E72" s="111" t="str">
        <f>INDEX(Deploy!C$2:C$55, MATCH(Tabla2[[#This Row],[Artif_id]],Deploy!E$2:E$55,0))</f>
        <v>importlc</v>
      </c>
      <c r="F72" s="116" t="s">
        <v>31</v>
      </c>
      <c r="G72" s="112" t="s">
        <v>51</v>
      </c>
      <c r="H72" s="114"/>
    </row>
    <row r="73" spans="1:8" ht="18" customHeight="1" x14ac:dyDescent="0.25">
      <c r="A73" s="113">
        <v>44670</v>
      </c>
      <c r="B73" s="114" t="s">
        <v>126</v>
      </c>
      <c r="C73" s="114" t="s">
        <v>85</v>
      </c>
      <c r="D73" s="115" t="s">
        <v>153</v>
      </c>
      <c r="E73" s="111" t="str">
        <f>INDEX(Deploy!C$2:C$55, MATCH(Tabla2[[#This Row],[Artif_id]],Deploy!E$2:E$55,0))</f>
        <v>stbexport</v>
      </c>
      <c r="F73" s="116" t="s">
        <v>32</v>
      </c>
      <c r="G73" s="112" t="s">
        <v>109</v>
      </c>
      <c r="H73" s="114"/>
    </row>
    <row r="74" spans="1:8" ht="18" customHeight="1" x14ac:dyDescent="0.25">
      <c r="A74" s="113">
        <v>44670</v>
      </c>
      <c r="B74" s="114" t="s">
        <v>126</v>
      </c>
      <c r="C74" s="114" t="s">
        <v>85</v>
      </c>
      <c r="D74" s="115" t="s">
        <v>153</v>
      </c>
      <c r="E74" s="111" t="str">
        <f>INDEX(Deploy!C$2:C$55, MATCH(Tabla2[[#This Row],[Artif_id]],Deploy!E$2:E$55,0))</f>
        <v>stbexport</v>
      </c>
      <c r="F74" s="116" t="s">
        <v>33</v>
      </c>
      <c r="G74" s="112" t="s">
        <v>109</v>
      </c>
      <c r="H74" s="114"/>
    </row>
    <row r="75" spans="1:8" ht="18" customHeight="1" x14ac:dyDescent="0.25">
      <c r="A75" s="113">
        <v>44670</v>
      </c>
      <c r="B75" s="114" t="s">
        <v>126</v>
      </c>
      <c r="C75" s="114" t="s">
        <v>85</v>
      </c>
      <c r="D75" s="115" t="s">
        <v>153</v>
      </c>
      <c r="E75" s="111" t="str">
        <f>INDEX(Deploy!C$2:C$55, MATCH(Tabla2[[#This Row],[Artif_id]],Deploy!E$2:E$55,0))</f>
        <v>stbimport</v>
      </c>
      <c r="F75" s="116" t="s">
        <v>34</v>
      </c>
      <c r="G75" s="112" t="s">
        <v>28</v>
      </c>
      <c r="H75" s="114"/>
    </row>
    <row r="76" spans="1:8" ht="18" customHeight="1" x14ac:dyDescent="0.25">
      <c r="A76" s="113">
        <v>44670</v>
      </c>
      <c r="B76" s="114" t="s">
        <v>126</v>
      </c>
      <c r="C76" s="114" t="s">
        <v>85</v>
      </c>
      <c r="D76" s="115" t="s">
        <v>153</v>
      </c>
      <c r="E76" s="111" t="str">
        <f>INDEX(Deploy!C$2:C$55, MATCH(Tabla2[[#This Row],[Artif_id]],Deploy!E$2:E$55,0))</f>
        <v>stbimport</v>
      </c>
      <c r="F76" s="116" t="s">
        <v>35</v>
      </c>
      <c r="G76" s="112" t="s">
        <v>28</v>
      </c>
      <c r="H76" s="114"/>
    </row>
    <row r="77" spans="1:8" ht="18" customHeight="1" x14ac:dyDescent="0.25">
      <c r="A77" s="113">
        <v>44670</v>
      </c>
      <c r="B77" s="114" t="s">
        <v>126</v>
      </c>
      <c r="C77" s="114" t="s">
        <v>85</v>
      </c>
      <c r="D77" s="115" t="s">
        <v>153</v>
      </c>
      <c r="E77" s="111" t="str">
        <f>INDEX(Deploy!C$2:C$55, MATCH(Tabla2[[#This Row],[Artif_id]],Deploy!E$2:E$55,0))</f>
        <v>loans</v>
      </c>
      <c r="F77" s="116" t="s">
        <v>36</v>
      </c>
      <c r="G77" s="112" t="s">
        <v>106</v>
      </c>
      <c r="H77" s="114"/>
    </row>
    <row r="78" spans="1:8" ht="18" customHeight="1" x14ac:dyDescent="0.25">
      <c r="A78" s="113">
        <v>44670</v>
      </c>
      <c r="B78" s="114" t="s">
        <v>126</v>
      </c>
      <c r="C78" s="114" t="s">
        <v>85</v>
      </c>
      <c r="D78" s="115" t="s">
        <v>153</v>
      </c>
      <c r="E78" s="111" t="str">
        <f>INDEX(Deploy!C$2:C$55, MATCH(Tabla2[[#This Row],[Artif_id]],Deploy!E$2:E$55,0))</f>
        <v>loans</v>
      </c>
      <c r="F78" s="116" t="s">
        <v>37</v>
      </c>
      <c r="G78" s="112" t="s">
        <v>106</v>
      </c>
      <c r="H78" s="114"/>
    </row>
    <row r="79" spans="1:8" ht="18" customHeight="1" x14ac:dyDescent="0.25">
      <c r="A79" s="113">
        <v>44670</v>
      </c>
      <c r="B79" s="114" t="s">
        <v>126</v>
      </c>
      <c r="C79" s="114" t="s">
        <v>85</v>
      </c>
      <c r="D79" s="115" t="s">
        <v>153</v>
      </c>
      <c r="E79" s="111" t="str">
        <f>INDEX(Deploy!C$2:C$55, MATCH(Tabla2[[#This Row],[Artif_id]],Deploy!E$2:E$55,0))</f>
        <v>gtsintegration</v>
      </c>
      <c r="F79" s="116" t="s">
        <v>39</v>
      </c>
      <c r="G79" s="112" t="s">
        <v>104</v>
      </c>
      <c r="H79" s="114"/>
    </row>
    <row r="80" spans="1:8" ht="18" customHeight="1" x14ac:dyDescent="0.25">
      <c r="A80" s="113">
        <v>44670</v>
      </c>
      <c r="B80" s="114" t="s">
        <v>126</v>
      </c>
      <c r="C80" s="114" t="s">
        <v>85</v>
      </c>
      <c r="D80" s="115" t="s">
        <v>153</v>
      </c>
      <c r="E80" s="111" t="str">
        <f>INDEX(Deploy!C$2:C$55, MATCH(Tabla2[[#This Row],[Artif_id]],Deploy!E$2:E$55,0))</f>
        <v>mockgts</v>
      </c>
      <c r="F80" s="116" t="s">
        <v>40</v>
      </c>
      <c r="G80" s="112" t="s">
        <v>108</v>
      </c>
      <c r="H80" s="114"/>
    </row>
    <row r="81" spans="1:8" ht="18" customHeight="1" x14ac:dyDescent="0.25">
      <c r="A81" s="113">
        <v>44670</v>
      </c>
      <c r="B81" s="114" t="s">
        <v>126</v>
      </c>
      <c r="C81" s="114" t="s">
        <v>85</v>
      </c>
      <c r="D81" s="115" t="s">
        <v>153</v>
      </c>
      <c r="E81" s="111" t="str">
        <f>INDEX(Deploy!C$2:C$55, MATCH(Tabla2[[#This Row],[Artif_id]],Deploy!E$2:E$55,0))</f>
        <v>collexpintegration</v>
      </c>
      <c r="F81" s="116" t="s">
        <v>41</v>
      </c>
      <c r="G81" s="112" t="s">
        <v>100</v>
      </c>
      <c r="H81" s="114"/>
    </row>
    <row r="82" spans="1:8" ht="18" customHeight="1" x14ac:dyDescent="0.25">
      <c r="A82" s="113">
        <v>44670</v>
      </c>
      <c r="B82" s="114" t="s">
        <v>126</v>
      </c>
      <c r="C82" s="114" t="s">
        <v>85</v>
      </c>
      <c r="D82" s="115" t="s">
        <v>153</v>
      </c>
      <c r="E82" s="111" t="str">
        <f>INDEX(Deploy!C$2:C$55, MATCH(Tabla2[[#This Row],[Artif_id]],Deploy!E$2:E$55,0))</f>
        <v>collimpintegration</v>
      </c>
      <c r="F82" s="116" t="s">
        <v>42</v>
      </c>
      <c r="G82" s="112" t="s">
        <v>101</v>
      </c>
      <c r="H82" s="114"/>
    </row>
    <row r="83" spans="1:8" ht="18" customHeight="1" x14ac:dyDescent="0.25">
      <c r="A83" s="113">
        <v>44670</v>
      </c>
      <c r="B83" s="114" t="s">
        <v>126</v>
      </c>
      <c r="C83" s="114" t="s">
        <v>85</v>
      </c>
      <c r="D83" s="115" t="s">
        <v>153</v>
      </c>
      <c r="E83" s="111" t="str">
        <f>INDEX(Deploy!C$2:C$55, MATCH(Tabla2[[#This Row],[Artif_id]],Deploy!E$2:E$55,0))</f>
        <v>exportlcintegration</v>
      </c>
      <c r="F83" s="116" t="s">
        <v>43</v>
      </c>
      <c r="G83" s="112" t="s">
        <v>103</v>
      </c>
      <c r="H83" s="114"/>
    </row>
    <row r="84" spans="1:8" ht="18" customHeight="1" x14ac:dyDescent="0.25">
      <c r="A84" s="113">
        <v>44670</v>
      </c>
      <c r="B84" s="114" t="s">
        <v>126</v>
      </c>
      <c r="C84" s="114" t="s">
        <v>85</v>
      </c>
      <c r="D84" s="115" t="s">
        <v>153</v>
      </c>
      <c r="E84" s="111" t="str">
        <f>INDEX(Deploy!C$2:C$55, MATCH(Tabla2[[#This Row],[Artif_id]],Deploy!E$2:E$55,0))</f>
        <v>importlcintegration</v>
      </c>
      <c r="F84" s="116" t="s">
        <v>44</v>
      </c>
      <c r="G84" s="112" t="s">
        <v>105</v>
      </c>
      <c r="H84" s="114"/>
    </row>
    <row r="85" spans="1:8" ht="18" customHeight="1" x14ac:dyDescent="0.25">
      <c r="A85" s="113">
        <v>44670</v>
      </c>
      <c r="B85" s="114" t="s">
        <v>126</v>
      </c>
      <c r="C85" s="114" t="s">
        <v>85</v>
      </c>
      <c r="D85" s="115" t="s">
        <v>153</v>
      </c>
      <c r="E85" s="111" t="str">
        <f>INDEX(Deploy!C$2:C$55, MATCH(Tabla2[[#This Row],[Artif_id]],Deploy!E$2:E$55,0))</f>
        <v>loansintegration</v>
      </c>
      <c r="F85" s="116" t="s">
        <v>45</v>
      </c>
      <c r="G85" s="112" t="s">
        <v>107</v>
      </c>
      <c r="H85" s="114"/>
    </row>
    <row r="86" spans="1:8" ht="18" customHeight="1" x14ac:dyDescent="0.25">
      <c r="A86" s="113">
        <v>44670</v>
      </c>
      <c r="B86" s="114" t="s">
        <v>126</v>
      </c>
      <c r="C86" s="114" t="s">
        <v>85</v>
      </c>
      <c r="D86" s="115" t="s">
        <v>153</v>
      </c>
      <c r="E86" s="111" t="str">
        <f>INDEX(Deploy!C$2:C$55, MATCH(Tabla2[[#This Row],[Artif_id]],Deploy!E$2:E$55,0))</f>
        <v>stbexportintegration</v>
      </c>
      <c r="F86" s="116" t="s">
        <v>46</v>
      </c>
      <c r="G86" s="112" t="s">
        <v>110</v>
      </c>
      <c r="H86" s="114"/>
    </row>
    <row r="87" spans="1:8" ht="18" customHeight="1" x14ac:dyDescent="0.25">
      <c r="A87" s="113">
        <v>44670</v>
      </c>
      <c r="B87" s="114" t="s">
        <v>126</v>
      </c>
      <c r="C87" s="114" t="s">
        <v>85</v>
      </c>
      <c r="D87" s="115" t="s">
        <v>153</v>
      </c>
      <c r="E87" s="111" t="str">
        <f>INDEX(Deploy!C$2:C$55, MATCH(Tabla2[[#This Row],[Artif_id]],Deploy!E$2:E$55,0))</f>
        <v>stbimportintegration</v>
      </c>
      <c r="F87" s="116" t="s">
        <v>48</v>
      </c>
      <c r="G87" s="112" t="s">
        <v>111</v>
      </c>
      <c r="H87" s="114"/>
    </row>
    <row r="88" spans="1:8" ht="18" customHeight="1" x14ac:dyDescent="0.25">
      <c r="A88" s="113">
        <v>44670</v>
      </c>
      <c r="B88" s="114" t="s">
        <v>126</v>
      </c>
      <c r="C88" s="94" t="s">
        <v>86</v>
      </c>
      <c r="D88" s="98" t="s">
        <v>161</v>
      </c>
      <c r="E88" s="111" t="str">
        <f>INDEX(Deploy!C$2:C$55, MATCH(Tabla2[[#This Row],[Artif_id]],Deploy!E$2:E$55,0))</f>
        <v>collectionsexportjobs</v>
      </c>
      <c r="F88" s="116" t="s">
        <v>52</v>
      </c>
      <c r="G88" s="112" t="s">
        <v>98</v>
      </c>
      <c r="H88" s="114"/>
    </row>
    <row r="89" spans="1:8" ht="18" customHeight="1" x14ac:dyDescent="0.25">
      <c r="A89" s="93">
        <v>44670</v>
      </c>
      <c r="B89" s="94" t="s">
        <v>126</v>
      </c>
      <c r="C89" s="94" t="s">
        <v>86</v>
      </c>
      <c r="D89" s="98" t="s">
        <v>161</v>
      </c>
      <c r="E89" s="92" t="str">
        <f>INDEX(Deploy!C$2:C$55, MATCH(Tabla2[[#This Row],[Artif_id]],Deploy!E$2:E$55,0))</f>
        <v>cloud</v>
      </c>
      <c r="F89" s="95" t="s">
        <v>13</v>
      </c>
      <c r="G89" s="97" t="s">
        <v>159</v>
      </c>
      <c r="H89" s="94"/>
    </row>
    <row r="90" spans="1:8" ht="18" customHeight="1" x14ac:dyDescent="0.25">
      <c r="A90" s="93">
        <v>44670</v>
      </c>
      <c r="B90" s="94" t="s">
        <v>126</v>
      </c>
      <c r="C90" s="94" t="s">
        <v>86</v>
      </c>
      <c r="D90" s="98" t="s">
        <v>161</v>
      </c>
      <c r="E90" s="92" t="str">
        <f>INDEX(Deploy!C$2:C$55, MATCH(Tabla2[[#This Row],[Artif_id]],Deploy!E$2:E$55,0))</f>
        <v>collectionsexport</v>
      </c>
      <c r="F90" s="95" t="s">
        <v>24</v>
      </c>
      <c r="G90" s="97" t="s">
        <v>157</v>
      </c>
      <c r="H90" s="94"/>
    </row>
    <row r="91" spans="1:8" ht="18" customHeight="1" x14ac:dyDescent="0.25">
      <c r="A91" s="93">
        <v>44670</v>
      </c>
      <c r="B91" s="94" t="s">
        <v>126</v>
      </c>
      <c r="C91" s="94" t="s">
        <v>86</v>
      </c>
      <c r="D91" s="98" t="s">
        <v>161</v>
      </c>
      <c r="E91" s="92" t="str">
        <f>INDEX(Deploy!C$2:C$55, MATCH(Tabla2[[#This Row],[Artif_id]],Deploy!E$2:E$55,0))</f>
        <v>collectionsimport</v>
      </c>
      <c r="F91" s="95" t="s">
        <v>26</v>
      </c>
      <c r="G91" s="97" t="s">
        <v>158</v>
      </c>
      <c r="H91" s="94"/>
    </row>
    <row r="92" spans="1:8" ht="18" customHeight="1" x14ac:dyDescent="0.25">
      <c r="A92" s="93">
        <v>44670</v>
      </c>
      <c r="B92" s="94" t="s">
        <v>126</v>
      </c>
      <c r="C92" s="94" t="s">
        <v>86</v>
      </c>
      <c r="D92" s="98" t="s">
        <v>161</v>
      </c>
      <c r="E92" s="92" t="str">
        <f>INDEX(Deploy!C$2:C$55, MATCH(Tabla2[[#This Row],[Artif_id]],Deploy!E$2:E$55,0))</f>
        <v>exportlc</v>
      </c>
      <c r="F92" s="95" t="s">
        <v>29</v>
      </c>
      <c r="G92" s="97" t="s">
        <v>160</v>
      </c>
      <c r="H92" s="94"/>
    </row>
    <row r="93" spans="1:8" ht="18" customHeight="1" x14ac:dyDescent="0.25">
      <c r="A93" s="93">
        <v>44670</v>
      </c>
      <c r="B93" s="94" t="s">
        <v>126</v>
      </c>
      <c r="C93" s="94" t="s">
        <v>86</v>
      </c>
      <c r="D93" s="98" t="s">
        <v>161</v>
      </c>
      <c r="E93" s="92" t="str">
        <f>INDEX(Deploy!C$2:C$55, MATCH(Tabla2[[#This Row],[Artif_id]],Deploy!E$2:E$55,0))</f>
        <v>stbexport</v>
      </c>
      <c r="F93" s="95" t="s">
        <v>32</v>
      </c>
      <c r="G93" s="97" t="s">
        <v>154</v>
      </c>
      <c r="H93" s="94"/>
    </row>
    <row r="94" spans="1:8" ht="18" customHeight="1" x14ac:dyDescent="0.25">
      <c r="A94" s="93">
        <v>44670</v>
      </c>
      <c r="B94" s="94" t="s">
        <v>126</v>
      </c>
      <c r="C94" s="94" t="s">
        <v>86</v>
      </c>
      <c r="D94" s="98" t="s">
        <v>161</v>
      </c>
      <c r="E94" s="92" t="str">
        <f>INDEX(Deploy!C$2:C$55, MATCH(Tabla2[[#This Row],[Artif_id]],Deploy!E$2:E$55,0))</f>
        <v>stbimport</v>
      </c>
      <c r="F94" s="95" t="s">
        <v>34</v>
      </c>
      <c r="G94" s="97" t="s">
        <v>155</v>
      </c>
      <c r="H94" s="94"/>
    </row>
    <row r="95" spans="1:8" ht="18" customHeight="1" x14ac:dyDescent="0.25">
      <c r="A95" s="93">
        <v>44670</v>
      </c>
      <c r="B95" s="94" t="s">
        <v>126</v>
      </c>
      <c r="C95" s="94" t="s">
        <v>86</v>
      </c>
      <c r="D95" s="98" t="s">
        <v>161</v>
      </c>
      <c r="E95" s="92" t="str">
        <f>INDEX(Deploy!C$2:C$55, MATCH(Tabla2[[#This Row],[Artif_id]],Deploy!E$2:E$55,0))</f>
        <v>stbexportintegration</v>
      </c>
      <c r="F95" s="95" t="s">
        <v>46</v>
      </c>
      <c r="G95" s="97" t="s">
        <v>144</v>
      </c>
      <c r="H95" s="94"/>
    </row>
    <row r="96" spans="1:8" ht="18" customHeight="1" x14ac:dyDescent="0.25">
      <c r="A96" s="93">
        <v>44670</v>
      </c>
      <c r="B96" s="94" t="s">
        <v>126</v>
      </c>
      <c r="C96" s="94" t="s">
        <v>86</v>
      </c>
      <c r="D96" s="98" t="s">
        <v>161</v>
      </c>
      <c r="E96" s="92" t="str">
        <f>INDEX(Deploy!C$2:C$55, MATCH(Tabla2[[#This Row],[Artif_id]],Deploy!E$2:E$55,0))</f>
        <v>stbimportintegration</v>
      </c>
      <c r="F96" s="95" t="s">
        <v>48</v>
      </c>
      <c r="G96" s="97" t="s">
        <v>156</v>
      </c>
      <c r="H96" s="94"/>
    </row>
    <row r="97" spans="1:8" ht="18" customHeight="1" x14ac:dyDescent="0.25">
      <c r="A97" s="93">
        <v>44670</v>
      </c>
      <c r="B97" s="94" t="s">
        <v>126</v>
      </c>
      <c r="C97" s="94" t="s">
        <v>86</v>
      </c>
      <c r="D97" s="98" t="s">
        <v>161</v>
      </c>
      <c r="E97" s="92" t="str">
        <f>INDEX(Deploy!C$2:C$55, MATCH(Tabla2[[#This Row],[Artif_id]],Deploy!E$2:E$55,0))</f>
        <v>accountingjobs</v>
      </c>
      <c r="F97" s="95" t="s">
        <v>56</v>
      </c>
      <c r="G97" s="97" t="s">
        <v>147</v>
      </c>
      <c r="H97" s="94"/>
    </row>
    <row r="98" spans="1:8" ht="18" customHeight="1" x14ac:dyDescent="0.25">
      <c r="A98" s="135">
        <v>44678</v>
      </c>
      <c r="B98" s="136" t="s">
        <v>201</v>
      </c>
      <c r="C98" s="136" t="s">
        <v>85</v>
      </c>
      <c r="D98" s="137" t="s">
        <v>153</v>
      </c>
      <c r="E98" s="133" t="str">
        <f>INDEX(Deploy!C$2:C$55, MATCH(Tabla2[[#This Row],[Artif_id]],Deploy!E$2:E$55,0))</f>
        <v>cloud</v>
      </c>
      <c r="F98" s="138" t="s">
        <v>12</v>
      </c>
      <c r="G98" s="134" t="s">
        <v>97</v>
      </c>
      <c r="H98" s="136"/>
    </row>
    <row r="99" spans="1:8" ht="18" customHeight="1" x14ac:dyDescent="0.25">
      <c r="A99" s="135">
        <v>44678</v>
      </c>
      <c r="B99" s="136" t="s">
        <v>201</v>
      </c>
      <c r="C99" s="136" t="s">
        <v>85</v>
      </c>
      <c r="D99" s="137" t="s">
        <v>153</v>
      </c>
      <c r="E99" s="133" t="str">
        <f>INDEX(Deploy!C$2:C$55, MATCH(Tabla2[[#This Row],[Artif_id]],Deploy!E$2:E$55,0))</f>
        <v>cloud</v>
      </c>
      <c r="F99" s="138" t="s">
        <v>13</v>
      </c>
      <c r="G99" s="134" t="s">
        <v>97</v>
      </c>
      <c r="H99" s="136"/>
    </row>
    <row r="100" spans="1:8" ht="18" customHeight="1" x14ac:dyDescent="0.25">
      <c r="A100" s="135">
        <v>44678</v>
      </c>
      <c r="B100" s="136" t="s">
        <v>201</v>
      </c>
      <c r="C100" s="136" t="s">
        <v>85</v>
      </c>
      <c r="D100" s="137" t="s">
        <v>153</v>
      </c>
      <c r="E100" s="133" t="str">
        <f>INDEX(Deploy!C$2:C$55, MATCH(Tabla2[[#This Row],[Artif_id]],Deploy!E$2:E$55,0))</f>
        <v>collectionsexport</v>
      </c>
      <c r="F100" s="138" t="s">
        <v>23</v>
      </c>
      <c r="G100" s="134" t="s">
        <v>98</v>
      </c>
      <c r="H100" s="136"/>
    </row>
    <row r="101" spans="1:8" ht="18" customHeight="1" x14ac:dyDescent="0.25">
      <c r="A101" s="135">
        <v>44678</v>
      </c>
      <c r="B101" s="136" t="s">
        <v>201</v>
      </c>
      <c r="C101" s="136" t="s">
        <v>85</v>
      </c>
      <c r="D101" s="137" t="s">
        <v>153</v>
      </c>
      <c r="E101" s="133" t="str">
        <f>INDEX(Deploy!C$2:C$55, MATCH(Tabla2[[#This Row],[Artif_id]],Deploy!E$2:E$55,0))</f>
        <v>collectionsexport</v>
      </c>
      <c r="F101" s="138" t="s">
        <v>24</v>
      </c>
      <c r="G101" s="134" t="s">
        <v>98</v>
      </c>
      <c r="H101" s="136"/>
    </row>
    <row r="102" spans="1:8" ht="18" customHeight="1" x14ac:dyDescent="0.25">
      <c r="A102" s="135">
        <v>44678</v>
      </c>
      <c r="B102" s="136" t="s">
        <v>201</v>
      </c>
      <c r="C102" s="136" t="s">
        <v>85</v>
      </c>
      <c r="D102" s="137" t="s">
        <v>153</v>
      </c>
      <c r="E102" s="133" t="str">
        <f>INDEX(Deploy!C$2:C$55, MATCH(Tabla2[[#This Row],[Artif_id]],Deploy!E$2:E$55,0))</f>
        <v>collectionsimport</v>
      </c>
      <c r="F102" s="138" t="s">
        <v>25</v>
      </c>
      <c r="G102" s="134" t="s">
        <v>99</v>
      </c>
      <c r="H102" s="136"/>
    </row>
    <row r="103" spans="1:8" ht="18" customHeight="1" x14ac:dyDescent="0.25">
      <c r="A103" s="135">
        <v>44678</v>
      </c>
      <c r="B103" s="136" t="s">
        <v>201</v>
      </c>
      <c r="C103" s="136" t="s">
        <v>85</v>
      </c>
      <c r="D103" s="137" t="s">
        <v>153</v>
      </c>
      <c r="E103" s="133" t="str">
        <f>INDEX(Deploy!C$2:C$55, MATCH(Tabla2[[#This Row],[Artif_id]],Deploy!E$2:E$55,0))</f>
        <v>collectionsimport</v>
      </c>
      <c r="F103" s="138" t="s">
        <v>26</v>
      </c>
      <c r="G103" s="134" t="s">
        <v>99</v>
      </c>
      <c r="H103" s="136"/>
    </row>
    <row r="104" spans="1:8" ht="18" customHeight="1" x14ac:dyDescent="0.25">
      <c r="A104" s="135">
        <v>44678</v>
      </c>
      <c r="B104" s="136" t="s">
        <v>201</v>
      </c>
      <c r="C104" s="136" t="s">
        <v>85</v>
      </c>
      <c r="D104" s="137" t="s">
        <v>153</v>
      </c>
      <c r="E104" s="133" t="str">
        <f>INDEX(Deploy!C$2:C$55, MATCH(Tabla2[[#This Row],[Artif_id]],Deploy!E$2:E$55,0))</f>
        <v>exportlc</v>
      </c>
      <c r="F104" s="138" t="s">
        <v>27</v>
      </c>
      <c r="G104" s="134" t="s">
        <v>102</v>
      </c>
      <c r="H104" s="136"/>
    </row>
    <row r="105" spans="1:8" ht="18" customHeight="1" x14ac:dyDescent="0.25">
      <c r="A105" s="135">
        <v>44678</v>
      </c>
      <c r="B105" s="136" t="s">
        <v>201</v>
      </c>
      <c r="C105" s="136" t="s">
        <v>85</v>
      </c>
      <c r="D105" s="137" t="s">
        <v>153</v>
      </c>
      <c r="E105" s="133" t="str">
        <f>INDEX(Deploy!C$2:C$55, MATCH(Tabla2[[#This Row],[Artif_id]],Deploy!E$2:E$55,0))</f>
        <v>exportlc</v>
      </c>
      <c r="F105" s="138" t="s">
        <v>29</v>
      </c>
      <c r="G105" s="134" t="s">
        <v>102</v>
      </c>
      <c r="H105" s="136"/>
    </row>
    <row r="106" spans="1:8" ht="18" customHeight="1" x14ac:dyDescent="0.25">
      <c r="A106" s="135">
        <v>44678</v>
      </c>
      <c r="B106" s="136" t="s">
        <v>201</v>
      </c>
      <c r="C106" s="136" t="s">
        <v>85</v>
      </c>
      <c r="D106" s="137" t="s">
        <v>153</v>
      </c>
      <c r="E106" s="133" t="str">
        <f>INDEX(Deploy!C$2:C$55, MATCH(Tabla2[[#This Row],[Artif_id]],Deploy!E$2:E$55,0))</f>
        <v>importlc</v>
      </c>
      <c r="F106" s="138" t="s">
        <v>30</v>
      </c>
      <c r="G106" s="134" t="s">
        <v>51</v>
      </c>
      <c r="H106" s="136"/>
    </row>
    <row r="107" spans="1:8" ht="18" customHeight="1" x14ac:dyDescent="0.25">
      <c r="A107" s="135">
        <v>44678</v>
      </c>
      <c r="B107" s="136" t="s">
        <v>201</v>
      </c>
      <c r="C107" s="136" t="s">
        <v>85</v>
      </c>
      <c r="D107" s="137" t="s">
        <v>153</v>
      </c>
      <c r="E107" s="133" t="str">
        <f>INDEX(Deploy!C$2:C$55, MATCH(Tabla2[[#This Row],[Artif_id]],Deploy!E$2:E$55,0))</f>
        <v>importlc</v>
      </c>
      <c r="F107" s="138" t="s">
        <v>31</v>
      </c>
      <c r="G107" s="134" t="s">
        <v>51</v>
      </c>
      <c r="H107" s="136"/>
    </row>
    <row r="108" spans="1:8" ht="18" customHeight="1" x14ac:dyDescent="0.25">
      <c r="A108" s="135">
        <v>44678</v>
      </c>
      <c r="B108" s="136" t="s">
        <v>201</v>
      </c>
      <c r="C108" s="136" t="s">
        <v>85</v>
      </c>
      <c r="D108" s="137" t="s">
        <v>153</v>
      </c>
      <c r="E108" s="133" t="str">
        <f>INDEX(Deploy!C$2:C$55, MATCH(Tabla2[[#This Row],[Artif_id]],Deploy!E$2:E$55,0))</f>
        <v>stbexport</v>
      </c>
      <c r="F108" s="138" t="s">
        <v>32</v>
      </c>
      <c r="G108" s="134" t="s">
        <v>109</v>
      </c>
      <c r="H108" s="136"/>
    </row>
    <row r="109" spans="1:8" ht="18" customHeight="1" x14ac:dyDescent="0.25">
      <c r="A109" s="135">
        <v>44678</v>
      </c>
      <c r="B109" s="136" t="s">
        <v>201</v>
      </c>
      <c r="C109" s="136" t="s">
        <v>85</v>
      </c>
      <c r="D109" s="137" t="s">
        <v>153</v>
      </c>
      <c r="E109" s="133" t="str">
        <f>INDEX(Deploy!C$2:C$55, MATCH(Tabla2[[#This Row],[Artif_id]],Deploy!E$2:E$55,0))</f>
        <v>stbexport</v>
      </c>
      <c r="F109" s="138" t="s">
        <v>33</v>
      </c>
      <c r="G109" s="134" t="s">
        <v>109</v>
      </c>
      <c r="H109" s="136"/>
    </row>
    <row r="110" spans="1:8" ht="18" customHeight="1" x14ac:dyDescent="0.25">
      <c r="A110" s="135">
        <v>44678</v>
      </c>
      <c r="B110" s="136" t="s">
        <v>201</v>
      </c>
      <c r="C110" s="136" t="s">
        <v>85</v>
      </c>
      <c r="D110" s="137" t="s">
        <v>153</v>
      </c>
      <c r="E110" s="133" t="str">
        <f>INDEX(Deploy!C$2:C$55, MATCH(Tabla2[[#This Row],[Artif_id]],Deploy!E$2:E$55,0))</f>
        <v>stbimport</v>
      </c>
      <c r="F110" s="138" t="s">
        <v>34</v>
      </c>
      <c r="G110" s="134" t="s">
        <v>28</v>
      </c>
      <c r="H110" s="136"/>
    </row>
    <row r="111" spans="1:8" ht="18" customHeight="1" x14ac:dyDescent="0.25">
      <c r="A111" s="135">
        <v>44678</v>
      </c>
      <c r="B111" s="136" t="s">
        <v>201</v>
      </c>
      <c r="C111" s="136" t="s">
        <v>85</v>
      </c>
      <c r="D111" s="137" t="s">
        <v>153</v>
      </c>
      <c r="E111" s="133" t="str">
        <f>INDEX(Deploy!C$2:C$55, MATCH(Tabla2[[#This Row],[Artif_id]],Deploy!E$2:E$55,0))</f>
        <v>stbimport</v>
      </c>
      <c r="F111" s="138" t="s">
        <v>35</v>
      </c>
      <c r="G111" s="134" t="s">
        <v>28</v>
      </c>
      <c r="H111" s="136"/>
    </row>
    <row r="112" spans="1:8" ht="18" customHeight="1" x14ac:dyDescent="0.25">
      <c r="A112" s="135">
        <v>44678</v>
      </c>
      <c r="B112" s="136" t="s">
        <v>201</v>
      </c>
      <c r="C112" s="136" t="s">
        <v>85</v>
      </c>
      <c r="D112" s="137" t="s">
        <v>153</v>
      </c>
      <c r="E112" s="133" t="str">
        <f>INDEX(Deploy!C$2:C$55, MATCH(Tabla2[[#This Row],[Artif_id]],Deploy!E$2:E$55,0))</f>
        <v>loans</v>
      </c>
      <c r="F112" s="138" t="s">
        <v>36</v>
      </c>
      <c r="G112" s="134" t="s">
        <v>106</v>
      </c>
      <c r="H112" s="136"/>
    </row>
    <row r="113" spans="1:8" ht="18" customHeight="1" x14ac:dyDescent="0.25">
      <c r="A113" s="135">
        <v>44678</v>
      </c>
      <c r="B113" s="136" t="s">
        <v>201</v>
      </c>
      <c r="C113" s="136" t="s">
        <v>85</v>
      </c>
      <c r="D113" s="137" t="s">
        <v>153</v>
      </c>
      <c r="E113" s="133" t="str">
        <f>INDEX(Deploy!C$2:C$55, MATCH(Tabla2[[#This Row],[Artif_id]],Deploy!E$2:E$55,0))</f>
        <v>loans</v>
      </c>
      <c r="F113" s="138" t="s">
        <v>37</v>
      </c>
      <c r="G113" s="134" t="s">
        <v>106</v>
      </c>
      <c r="H113" s="136"/>
    </row>
    <row r="114" spans="1:8" ht="18" customHeight="1" x14ac:dyDescent="0.25">
      <c r="A114" s="135">
        <v>44678</v>
      </c>
      <c r="B114" s="136" t="s">
        <v>201</v>
      </c>
      <c r="C114" s="136" t="s">
        <v>85</v>
      </c>
      <c r="D114" s="137" t="s">
        <v>153</v>
      </c>
      <c r="E114" s="133" t="str">
        <f>INDEX(Deploy!C$2:C$55, MATCH(Tabla2[[#This Row],[Artif_id]],Deploy!E$2:E$55,0))</f>
        <v>gtsintegration</v>
      </c>
      <c r="F114" s="138" t="s">
        <v>39</v>
      </c>
      <c r="G114" s="134" t="s">
        <v>104</v>
      </c>
      <c r="H114" s="136"/>
    </row>
    <row r="115" spans="1:8" ht="18" customHeight="1" x14ac:dyDescent="0.25">
      <c r="A115" s="135">
        <v>44678</v>
      </c>
      <c r="B115" s="136" t="s">
        <v>201</v>
      </c>
      <c r="C115" s="136" t="s">
        <v>85</v>
      </c>
      <c r="D115" s="137" t="s">
        <v>153</v>
      </c>
      <c r="E115" s="133" t="str">
        <f>INDEX(Deploy!C$2:C$55, MATCH(Tabla2[[#This Row],[Artif_id]],Deploy!E$2:E$55,0))</f>
        <v>mockgts</v>
      </c>
      <c r="F115" s="138" t="s">
        <v>40</v>
      </c>
      <c r="G115" s="134" t="s">
        <v>108</v>
      </c>
      <c r="H115" s="136"/>
    </row>
    <row r="116" spans="1:8" ht="18" customHeight="1" x14ac:dyDescent="0.25">
      <c r="A116" s="135">
        <v>44678</v>
      </c>
      <c r="B116" s="136" t="s">
        <v>201</v>
      </c>
      <c r="C116" s="136" t="s">
        <v>85</v>
      </c>
      <c r="D116" s="137" t="s">
        <v>153</v>
      </c>
      <c r="E116" s="133" t="str">
        <f>INDEX(Deploy!C$2:C$55, MATCH(Tabla2[[#This Row],[Artif_id]],Deploy!E$2:E$55,0))</f>
        <v>collexpintegration</v>
      </c>
      <c r="F116" s="138" t="s">
        <v>41</v>
      </c>
      <c r="G116" s="134" t="s">
        <v>100</v>
      </c>
      <c r="H116" s="136"/>
    </row>
    <row r="117" spans="1:8" ht="18" customHeight="1" x14ac:dyDescent="0.25">
      <c r="A117" s="135">
        <v>44678</v>
      </c>
      <c r="B117" s="136" t="s">
        <v>201</v>
      </c>
      <c r="C117" s="136" t="s">
        <v>85</v>
      </c>
      <c r="D117" s="137" t="s">
        <v>153</v>
      </c>
      <c r="E117" s="133" t="str">
        <f>INDEX(Deploy!C$2:C$55, MATCH(Tabla2[[#This Row],[Artif_id]],Deploy!E$2:E$55,0))</f>
        <v>collimpintegration</v>
      </c>
      <c r="F117" s="138" t="s">
        <v>42</v>
      </c>
      <c r="G117" s="134" t="s">
        <v>101</v>
      </c>
      <c r="H117" s="136"/>
    </row>
    <row r="118" spans="1:8" ht="18" customHeight="1" x14ac:dyDescent="0.25">
      <c r="A118" s="135">
        <v>44678</v>
      </c>
      <c r="B118" s="136" t="s">
        <v>201</v>
      </c>
      <c r="C118" s="136" t="s">
        <v>85</v>
      </c>
      <c r="D118" s="137" t="s">
        <v>153</v>
      </c>
      <c r="E118" s="133" t="str">
        <f>INDEX(Deploy!C$2:C$55, MATCH(Tabla2[[#This Row],[Artif_id]],Deploy!E$2:E$55,0))</f>
        <v>exportlcintegration</v>
      </c>
      <c r="F118" s="138" t="s">
        <v>43</v>
      </c>
      <c r="G118" s="134" t="s">
        <v>103</v>
      </c>
      <c r="H118" s="136"/>
    </row>
    <row r="119" spans="1:8" ht="18" customHeight="1" x14ac:dyDescent="0.25">
      <c r="A119" s="135">
        <v>44678</v>
      </c>
      <c r="B119" s="136" t="s">
        <v>201</v>
      </c>
      <c r="C119" s="136" t="s">
        <v>85</v>
      </c>
      <c r="D119" s="137" t="s">
        <v>153</v>
      </c>
      <c r="E119" s="133" t="str">
        <f>INDEX(Deploy!C$2:C$55, MATCH(Tabla2[[#This Row],[Artif_id]],Deploy!E$2:E$55,0))</f>
        <v>importlcintegration</v>
      </c>
      <c r="F119" s="138" t="s">
        <v>44</v>
      </c>
      <c r="G119" s="134" t="s">
        <v>105</v>
      </c>
      <c r="H119" s="136"/>
    </row>
    <row r="120" spans="1:8" ht="18" customHeight="1" x14ac:dyDescent="0.25">
      <c r="A120" s="135">
        <v>44678</v>
      </c>
      <c r="B120" s="136" t="s">
        <v>201</v>
      </c>
      <c r="C120" s="136" t="s">
        <v>85</v>
      </c>
      <c r="D120" s="137" t="s">
        <v>153</v>
      </c>
      <c r="E120" s="133" t="str">
        <f>INDEX(Deploy!C$2:C$55, MATCH(Tabla2[[#This Row],[Artif_id]],Deploy!E$2:E$55,0))</f>
        <v>loansintegration</v>
      </c>
      <c r="F120" s="138" t="s">
        <v>45</v>
      </c>
      <c r="G120" s="134" t="s">
        <v>107</v>
      </c>
      <c r="H120" s="136"/>
    </row>
    <row r="121" spans="1:8" ht="18" customHeight="1" x14ac:dyDescent="0.25">
      <c r="A121" s="135">
        <v>44678</v>
      </c>
      <c r="B121" s="136" t="s">
        <v>201</v>
      </c>
      <c r="C121" s="136" t="s">
        <v>85</v>
      </c>
      <c r="D121" s="137" t="s">
        <v>153</v>
      </c>
      <c r="E121" s="133" t="str">
        <f>INDEX(Deploy!C$2:C$55, MATCH(Tabla2[[#This Row],[Artif_id]],Deploy!E$2:E$55,0))</f>
        <v>stbexportintegration</v>
      </c>
      <c r="F121" s="138" t="s">
        <v>46</v>
      </c>
      <c r="G121" s="134" t="s">
        <v>110</v>
      </c>
      <c r="H121" s="136"/>
    </row>
    <row r="122" spans="1:8" ht="18" customHeight="1" x14ac:dyDescent="0.25">
      <c r="A122" s="135">
        <v>44678</v>
      </c>
      <c r="B122" s="136" t="s">
        <v>201</v>
      </c>
      <c r="C122" s="136" t="s">
        <v>85</v>
      </c>
      <c r="D122" s="137" t="s">
        <v>153</v>
      </c>
      <c r="E122" s="133" t="str">
        <f>INDEX(Deploy!C$2:C$55, MATCH(Tabla2[[#This Row],[Artif_id]],Deploy!E$2:E$55,0))</f>
        <v>stbimportintegration</v>
      </c>
      <c r="F122" s="138" t="s">
        <v>48</v>
      </c>
      <c r="G122" s="134" t="s">
        <v>111</v>
      </c>
      <c r="H122" s="136"/>
    </row>
    <row r="123" spans="1:8" ht="18" customHeight="1" x14ac:dyDescent="0.25">
      <c r="A123" s="135">
        <v>44678</v>
      </c>
      <c r="B123" s="136" t="s">
        <v>201</v>
      </c>
      <c r="C123" s="136" t="s">
        <v>85</v>
      </c>
      <c r="D123" s="137" t="s">
        <v>153</v>
      </c>
      <c r="E123" s="133" t="str">
        <f>INDEX(Deploy!C$2:C$55, MATCH(Tabla2[[#This Row],[Artif_id]],Deploy!E$2:E$55,0))</f>
        <v>collectionsexportjobs</v>
      </c>
      <c r="F123" s="138" t="s">
        <v>52</v>
      </c>
      <c r="G123" s="134" t="s">
        <v>98</v>
      </c>
      <c r="H123" s="136"/>
    </row>
    <row r="124" spans="1:8" ht="18" customHeight="1" x14ac:dyDescent="0.25">
      <c r="A124" s="93">
        <v>44684</v>
      </c>
      <c r="B124" s="94" t="s">
        <v>225</v>
      </c>
      <c r="C124" s="94" t="s">
        <v>85</v>
      </c>
      <c r="D124" s="98" t="s">
        <v>204</v>
      </c>
      <c r="E124" s="92" t="str">
        <f>INDEX(Deploy!C$2:C$55, MATCH(Tabla2[[#This Row],[Artif_id]],Deploy!E$2:E$55,0))</f>
        <v>cloud</v>
      </c>
      <c r="F124" s="95" t="s">
        <v>12</v>
      </c>
      <c r="G124" s="97" t="s">
        <v>205</v>
      </c>
      <c r="H124" s="94"/>
    </row>
    <row r="125" spans="1:8" ht="18" customHeight="1" x14ac:dyDescent="0.25">
      <c r="A125" s="93">
        <v>44684</v>
      </c>
      <c r="B125" s="94" t="s">
        <v>225</v>
      </c>
      <c r="C125" s="94" t="s">
        <v>85</v>
      </c>
      <c r="D125" s="98" t="s">
        <v>204</v>
      </c>
      <c r="E125" s="92" t="str">
        <f>INDEX(Deploy!C$2:C$55, MATCH(Tabla2[[#This Row],[Artif_id]],Deploy!E$2:E$55,0))</f>
        <v>cloud</v>
      </c>
      <c r="F125" s="95" t="s">
        <v>13</v>
      </c>
      <c r="G125" s="97" t="s">
        <v>205</v>
      </c>
      <c r="H125" s="94"/>
    </row>
    <row r="126" spans="1:8" ht="18" customHeight="1" x14ac:dyDescent="0.25">
      <c r="A126" s="93">
        <v>44684</v>
      </c>
      <c r="B126" s="94" t="s">
        <v>225</v>
      </c>
      <c r="C126" s="94" t="s">
        <v>85</v>
      </c>
      <c r="D126" s="98" t="s">
        <v>204</v>
      </c>
      <c r="E126" s="92" t="str">
        <f>INDEX(Deploy!C$2:C$55, MATCH(Tabla2[[#This Row],[Artif_id]],Deploy!E$2:E$55,0))</f>
        <v>scheduler</v>
      </c>
      <c r="F126" s="95" t="s">
        <v>15</v>
      </c>
      <c r="G126" s="97" t="s">
        <v>206</v>
      </c>
      <c r="H126" s="94"/>
    </row>
    <row r="127" spans="1:8" ht="18" customHeight="1" x14ac:dyDescent="0.25">
      <c r="A127" s="93">
        <v>44684</v>
      </c>
      <c r="B127" s="94" t="s">
        <v>225</v>
      </c>
      <c r="C127" s="94" t="s">
        <v>85</v>
      </c>
      <c r="D127" s="98" t="s">
        <v>204</v>
      </c>
      <c r="E127" s="92" t="str">
        <f>INDEX(Deploy!C$2:C$55, MATCH(Tabla2[[#This Row],[Artif_id]],Deploy!E$2:E$55,0))</f>
        <v>scheduler</v>
      </c>
      <c r="F127" s="95" t="s">
        <v>16</v>
      </c>
      <c r="G127" s="97" t="s">
        <v>206</v>
      </c>
      <c r="H127" s="94"/>
    </row>
    <row r="128" spans="1:8" ht="18" customHeight="1" x14ac:dyDescent="0.25">
      <c r="A128" s="93">
        <v>44684</v>
      </c>
      <c r="B128" s="94" t="s">
        <v>225</v>
      </c>
      <c r="C128" s="94" t="s">
        <v>85</v>
      </c>
      <c r="D128" s="98" t="s">
        <v>204</v>
      </c>
      <c r="E128" s="92" t="str">
        <f>INDEX(Deploy!C$2:C$55, MATCH(Tabla2[[#This Row],[Artif_id]],Deploy!E$2:E$55,0))</f>
        <v>collectionsexport</v>
      </c>
      <c r="F128" s="95" t="s">
        <v>23</v>
      </c>
      <c r="G128" s="97" t="s">
        <v>207</v>
      </c>
      <c r="H128" s="94"/>
    </row>
    <row r="129" spans="1:8" ht="18" customHeight="1" x14ac:dyDescent="0.25">
      <c r="A129" s="93">
        <v>44684</v>
      </c>
      <c r="B129" s="94" t="s">
        <v>225</v>
      </c>
      <c r="C129" s="94" t="s">
        <v>85</v>
      </c>
      <c r="D129" s="98" t="s">
        <v>204</v>
      </c>
      <c r="E129" s="92" t="str">
        <f>INDEX(Deploy!C$2:C$55, MATCH(Tabla2[[#This Row],[Artif_id]],Deploy!E$2:E$55,0))</f>
        <v>collectionsexport</v>
      </c>
      <c r="F129" s="95" t="s">
        <v>24</v>
      </c>
      <c r="G129" s="97" t="s">
        <v>205</v>
      </c>
      <c r="H129" s="94"/>
    </row>
    <row r="130" spans="1:8" ht="18" customHeight="1" x14ac:dyDescent="0.25">
      <c r="A130" s="93">
        <v>44684</v>
      </c>
      <c r="B130" s="94" t="s">
        <v>225</v>
      </c>
      <c r="C130" s="94" t="s">
        <v>85</v>
      </c>
      <c r="D130" s="98" t="s">
        <v>204</v>
      </c>
      <c r="E130" s="92" t="str">
        <f>INDEX(Deploy!C$2:C$55, MATCH(Tabla2[[#This Row],[Artif_id]],Deploy!E$2:E$55,0))</f>
        <v>collectionsimport</v>
      </c>
      <c r="F130" s="95" t="s">
        <v>25</v>
      </c>
      <c r="G130" s="97" t="s">
        <v>131</v>
      </c>
      <c r="H130" s="94"/>
    </row>
    <row r="131" spans="1:8" ht="18" customHeight="1" x14ac:dyDescent="0.25">
      <c r="A131" s="93">
        <v>44684</v>
      </c>
      <c r="B131" s="94" t="s">
        <v>225</v>
      </c>
      <c r="C131" s="94" t="s">
        <v>85</v>
      </c>
      <c r="D131" s="98" t="s">
        <v>204</v>
      </c>
      <c r="E131" s="92" t="str">
        <f>INDEX(Deploy!C$2:C$55, MATCH(Tabla2[[#This Row],[Artif_id]],Deploy!E$2:E$55,0))</f>
        <v>collectionsimport</v>
      </c>
      <c r="F131" s="95" t="s">
        <v>26</v>
      </c>
      <c r="G131" s="97" t="s">
        <v>208</v>
      </c>
      <c r="H131" s="94"/>
    </row>
    <row r="132" spans="1:8" ht="18" customHeight="1" x14ac:dyDescent="0.25">
      <c r="A132" s="93">
        <v>44684</v>
      </c>
      <c r="B132" s="94" t="s">
        <v>225</v>
      </c>
      <c r="C132" s="94" t="s">
        <v>85</v>
      </c>
      <c r="D132" s="98" t="s">
        <v>204</v>
      </c>
      <c r="E132" s="92" t="str">
        <f>INDEX(Deploy!C$2:C$55, MATCH(Tabla2[[#This Row],[Artif_id]],Deploy!E$2:E$55,0))</f>
        <v>exportlc</v>
      </c>
      <c r="F132" s="95" t="s">
        <v>27</v>
      </c>
      <c r="G132" s="97" t="s">
        <v>209</v>
      </c>
      <c r="H132" s="94"/>
    </row>
    <row r="133" spans="1:8" ht="18" customHeight="1" x14ac:dyDescent="0.25">
      <c r="A133" s="93">
        <v>44684</v>
      </c>
      <c r="B133" s="94" t="s">
        <v>225</v>
      </c>
      <c r="C133" s="94" t="s">
        <v>85</v>
      </c>
      <c r="D133" s="98" t="s">
        <v>204</v>
      </c>
      <c r="E133" s="92" t="str">
        <f>INDEX(Deploy!C$2:C$55, MATCH(Tabla2[[#This Row],[Artif_id]],Deploy!E$2:E$55,0))</f>
        <v>exportlc</v>
      </c>
      <c r="F133" s="95" t="s">
        <v>29</v>
      </c>
      <c r="G133" s="97" t="s">
        <v>210</v>
      </c>
      <c r="H133" s="94"/>
    </row>
    <row r="134" spans="1:8" ht="18" customHeight="1" x14ac:dyDescent="0.25">
      <c r="A134" s="93">
        <v>44684</v>
      </c>
      <c r="B134" s="94" t="s">
        <v>225</v>
      </c>
      <c r="C134" s="94" t="s">
        <v>85</v>
      </c>
      <c r="D134" s="98" t="s">
        <v>204</v>
      </c>
      <c r="E134" s="92" t="str">
        <f>INDEX(Deploy!C$2:C$55, MATCH(Tabla2[[#This Row],[Artif_id]],Deploy!E$2:E$55,0))</f>
        <v>importlc</v>
      </c>
      <c r="F134" s="95" t="s">
        <v>30</v>
      </c>
      <c r="G134" s="97" t="s">
        <v>211</v>
      </c>
      <c r="H134" s="94"/>
    </row>
    <row r="135" spans="1:8" ht="18" customHeight="1" x14ac:dyDescent="0.25">
      <c r="A135" s="93">
        <v>44684</v>
      </c>
      <c r="B135" s="94" t="s">
        <v>225</v>
      </c>
      <c r="C135" s="94" t="s">
        <v>85</v>
      </c>
      <c r="D135" s="98" t="s">
        <v>204</v>
      </c>
      <c r="E135" s="92" t="str">
        <f>INDEX(Deploy!C$2:C$55, MATCH(Tabla2[[#This Row],[Artif_id]],Deploy!E$2:E$55,0))</f>
        <v>importlc</v>
      </c>
      <c r="F135" s="95" t="s">
        <v>31</v>
      </c>
      <c r="G135" s="97" t="s">
        <v>155</v>
      </c>
      <c r="H135" s="94"/>
    </row>
    <row r="136" spans="1:8" ht="18" customHeight="1" x14ac:dyDescent="0.25">
      <c r="A136" s="93">
        <v>44684</v>
      </c>
      <c r="B136" s="94" t="s">
        <v>225</v>
      </c>
      <c r="C136" s="94" t="s">
        <v>85</v>
      </c>
      <c r="D136" s="98" t="s">
        <v>204</v>
      </c>
      <c r="E136" s="92" t="str">
        <f>INDEX(Deploy!C$2:C$55, MATCH(Tabla2[[#This Row],[Artif_id]],Deploy!E$2:E$55,0))</f>
        <v>stbexport</v>
      </c>
      <c r="F136" s="95" t="s">
        <v>32</v>
      </c>
      <c r="G136" s="97" t="s">
        <v>212</v>
      </c>
      <c r="H136" s="94"/>
    </row>
    <row r="137" spans="1:8" ht="18" customHeight="1" x14ac:dyDescent="0.25">
      <c r="A137" s="93">
        <v>44684</v>
      </c>
      <c r="B137" s="94" t="s">
        <v>225</v>
      </c>
      <c r="C137" s="94" t="s">
        <v>85</v>
      </c>
      <c r="D137" s="98" t="s">
        <v>204</v>
      </c>
      <c r="E137" s="92" t="str">
        <f>INDEX(Deploy!C$2:C$55, MATCH(Tabla2[[#This Row],[Artif_id]],Deploy!E$2:E$55,0))</f>
        <v>stbexport</v>
      </c>
      <c r="F137" s="95" t="s">
        <v>33</v>
      </c>
      <c r="G137" s="97" t="s">
        <v>213</v>
      </c>
      <c r="H137" s="94"/>
    </row>
    <row r="138" spans="1:8" ht="18" customHeight="1" x14ac:dyDescent="0.25">
      <c r="A138" s="93">
        <v>44684</v>
      </c>
      <c r="B138" s="94" t="s">
        <v>225</v>
      </c>
      <c r="C138" s="94" t="s">
        <v>85</v>
      </c>
      <c r="D138" s="98" t="s">
        <v>204</v>
      </c>
      <c r="E138" s="92" t="str">
        <f>INDEX(Deploy!C$2:C$55, MATCH(Tabla2[[#This Row],[Artif_id]],Deploy!E$2:E$55,0))</f>
        <v>stbimport</v>
      </c>
      <c r="F138" s="95" t="s">
        <v>34</v>
      </c>
      <c r="G138" s="97" t="s">
        <v>134</v>
      </c>
      <c r="H138" s="94"/>
    </row>
    <row r="139" spans="1:8" ht="18" customHeight="1" x14ac:dyDescent="0.25">
      <c r="A139" s="93">
        <v>44684</v>
      </c>
      <c r="B139" s="94" t="s">
        <v>225</v>
      </c>
      <c r="C139" s="94" t="s">
        <v>85</v>
      </c>
      <c r="D139" s="98" t="s">
        <v>204</v>
      </c>
      <c r="E139" s="92" t="str">
        <f>INDEX(Deploy!C$2:C$55, MATCH(Tabla2[[#This Row],[Artif_id]],Deploy!E$2:E$55,0))</f>
        <v>stbimport</v>
      </c>
      <c r="F139" s="95" t="s">
        <v>35</v>
      </c>
      <c r="G139" s="97" t="s">
        <v>214</v>
      </c>
      <c r="H139" s="94"/>
    </row>
    <row r="140" spans="1:8" ht="18" customHeight="1" x14ac:dyDescent="0.25">
      <c r="A140" s="93">
        <v>44684</v>
      </c>
      <c r="B140" s="94" t="s">
        <v>225</v>
      </c>
      <c r="C140" s="94" t="s">
        <v>85</v>
      </c>
      <c r="D140" s="98" t="s">
        <v>204</v>
      </c>
      <c r="E140" s="92" t="str">
        <f>INDEX(Deploy!C$2:C$55, MATCH(Tabla2[[#This Row],[Artif_id]],Deploy!E$2:E$55,0))</f>
        <v>loans</v>
      </c>
      <c r="F140" s="95" t="s">
        <v>36</v>
      </c>
      <c r="G140" s="97" t="s">
        <v>215</v>
      </c>
      <c r="H140" s="94"/>
    </row>
    <row r="141" spans="1:8" ht="18" customHeight="1" x14ac:dyDescent="0.25">
      <c r="A141" s="93">
        <v>44684</v>
      </c>
      <c r="B141" s="94" t="s">
        <v>225</v>
      </c>
      <c r="C141" s="94" t="s">
        <v>85</v>
      </c>
      <c r="D141" s="98" t="s">
        <v>204</v>
      </c>
      <c r="E141" s="92" t="str">
        <f>INDEX(Deploy!C$2:C$55, MATCH(Tabla2[[#This Row],[Artif_id]],Deploy!E$2:E$55,0))</f>
        <v>loans</v>
      </c>
      <c r="F141" s="95" t="s">
        <v>37</v>
      </c>
      <c r="G141" s="97" t="s">
        <v>215</v>
      </c>
      <c r="H141" s="94"/>
    </row>
    <row r="142" spans="1:8" ht="18" customHeight="1" x14ac:dyDescent="0.25">
      <c r="A142" s="93">
        <v>44684</v>
      </c>
      <c r="B142" s="94" t="s">
        <v>225</v>
      </c>
      <c r="C142" s="94" t="s">
        <v>85</v>
      </c>
      <c r="D142" s="98" t="s">
        <v>204</v>
      </c>
      <c r="E142" s="92" t="str">
        <f>INDEX(Deploy!C$2:C$55, MATCH(Tabla2[[#This Row],[Artif_id]],Deploy!E$2:E$55,0))</f>
        <v>gtsintegration</v>
      </c>
      <c r="F142" s="95" t="s">
        <v>39</v>
      </c>
      <c r="G142" s="97" t="s">
        <v>135</v>
      </c>
      <c r="H142" s="94"/>
    </row>
    <row r="143" spans="1:8" ht="18" customHeight="1" x14ac:dyDescent="0.25">
      <c r="A143" s="93">
        <v>44684</v>
      </c>
      <c r="B143" s="94" t="s">
        <v>225</v>
      </c>
      <c r="C143" s="94" t="s">
        <v>85</v>
      </c>
      <c r="D143" s="98" t="s">
        <v>204</v>
      </c>
      <c r="E143" s="92" t="str">
        <f>INDEX(Deploy!C$2:C$55, MATCH(Tabla2[[#This Row],[Artif_id]],Deploy!E$2:E$55,0))</f>
        <v>mockgts</v>
      </c>
      <c r="F143" s="95" t="s">
        <v>40</v>
      </c>
      <c r="G143" s="97" t="s">
        <v>141</v>
      </c>
      <c r="H143" s="94"/>
    </row>
    <row r="144" spans="1:8" ht="18" customHeight="1" x14ac:dyDescent="0.25">
      <c r="A144" s="93">
        <v>44684</v>
      </c>
      <c r="B144" s="94" t="s">
        <v>225</v>
      </c>
      <c r="C144" s="94" t="s">
        <v>85</v>
      </c>
      <c r="D144" s="98" t="s">
        <v>204</v>
      </c>
      <c r="E144" s="92" t="str">
        <f>INDEX(Deploy!C$2:C$55, MATCH(Tabla2[[#This Row],[Artif_id]],Deploy!E$2:E$55,0))</f>
        <v>collexpintegration</v>
      </c>
      <c r="F144" s="95" t="s">
        <v>41</v>
      </c>
      <c r="G144" s="97" t="s">
        <v>216</v>
      </c>
      <c r="H144" s="94"/>
    </row>
    <row r="145" spans="1:8" ht="18" customHeight="1" x14ac:dyDescent="0.25">
      <c r="A145" s="93">
        <v>44684</v>
      </c>
      <c r="B145" s="94" t="s">
        <v>225</v>
      </c>
      <c r="C145" s="94" t="s">
        <v>85</v>
      </c>
      <c r="D145" s="98" t="s">
        <v>204</v>
      </c>
      <c r="E145" s="92" t="str">
        <f>INDEX(Deploy!C$2:C$55, MATCH(Tabla2[[#This Row],[Artif_id]],Deploy!E$2:E$55,0))</f>
        <v>collimpintegration</v>
      </c>
      <c r="F145" s="95" t="s">
        <v>42</v>
      </c>
      <c r="G145" s="97" t="s">
        <v>100</v>
      </c>
      <c r="H145" s="94"/>
    </row>
    <row r="146" spans="1:8" ht="18" customHeight="1" x14ac:dyDescent="0.25">
      <c r="A146" s="93">
        <v>44684</v>
      </c>
      <c r="B146" s="94" t="s">
        <v>225</v>
      </c>
      <c r="C146" s="94" t="s">
        <v>85</v>
      </c>
      <c r="D146" s="98" t="s">
        <v>204</v>
      </c>
      <c r="E146" s="92" t="str">
        <f>INDEX(Deploy!C$2:C$55, MATCH(Tabla2[[#This Row],[Artif_id]],Deploy!E$2:E$55,0))</f>
        <v>exportlcintegration</v>
      </c>
      <c r="F146" s="95" t="s">
        <v>43</v>
      </c>
      <c r="G146" s="97" t="s">
        <v>216</v>
      </c>
      <c r="H146" s="94"/>
    </row>
    <row r="147" spans="1:8" ht="18" customHeight="1" x14ac:dyDescent="0.25">
      <c r="A147" s="93">
        <v>44684</v>
      </c>
      <c r="B147" s="94" t="s">
        <v>225</v>
      </c>
      <c r="C147" s="94" t="s">
        <v>85</v>
      </c>
      <c r="D147" s="98" t="s">
        <v>204</v>
      </c>
      <c r="E147" s="92" t="str">
        <f>INDEX(Deploy!C$2:C$55, MATCH(Tabla2[[#This Row],[Artif_id]],Deploy!E$2:E$55,0))</f>
        <v>importlcintegration</v>
      </c>
      <c r="F147" s="95" t="s">
        <v>44</v>
      </c>
      <c r="G147" s="97" t="s">
        <v>103</v>
      </c>
      <c r="H147" s="94"/>
    </row>
    <row r="148" spans="1:8" ht="18" customHeight="1" x14ac:dyDescent="0.25">
      <c r="A148" s="93">
        <v>44684</v>
      </c>
      <c r="B148" s="94" t="s">
        <v>225</v>
      </c>
      <c r="C148" s="94" t="s">
        <v>85</v>
      </c>
      <c r="D148" s="98" t="s">
        <v>204</v>
      </c>
      <c r="E148" s="92" t="str">
        <f>INDEX(Deploy!C$2:C$55, MATCH(Tabla2[[#This Row],[Artif_id]],Deploy!E$2:E$55,0))</f>
        <v>loansintegration</v>
      </c>
      <c r="F148" s="95" t="s">
        <v>45</v>
      </c>
      <c r="G148" s="97" t="s">
        <v>217</v>
      </c>
      <c r="H148" s="94"/>
    </row>
    <row r="149" spans="1:8" ht="18" customHeight="1" x14ac:dyDescent="0.25">
      <c r="A149" s="93">
        <v>44684</v>
      </c>
      <c r="B149" s="94" t="s">
        <v>225</v>
      </c>
      <c r="C149" s="94" t="s">
        <v>85</v>
      </c>
      <c r="D149" s="98" t="s">
        <v>204</v>
      </c>
      <c r="E149" s="92" t="str">
        <f>INDEX(Deploy!C$2:C$55, MATCH(Tabla2[[#This Row],[Artif_id]],Deploy!E$2:E$55,0))</f>
        <v>stbexportintegration</v>
      </c>
      <c r="F149" s="95" t="s">
        <v>46</v>
      </c>
      <c r="G149" s="97" t="s">
        <v>218</v>
      </c>
      <c r="H149" s="94"/>
    </row>
    <row r="150" spans="1:8" ht="18" customHeight="1" x14ac:dyDescent="0.25">
      <c r="A150" s="93">
        <v>44684</v>
      </c>
      <c r="B150" s="94" t="s">
        <v>225</v>
      </c>
      <c r="C150" s="94" t="s">
        <v>85</v>
      </c>
      <c r="D150" s="98" t="s">
        <v>204</v>
      </c>
      <c r="E150" s="92" t="str">
        <f>INDEX(Deploy!C$2:C$55, MATCH(Tabla2[[#This Row],[Artif_id]],Deploy!E$2:E$55,0))</f>
        <v>stbimportintegration</v>
      </c>
      <c r="F150" s="95" t="s">
        <v>48</v>
      </c>
      <c r="G150" s="97" t="s">
        <v>219</v>
      </c>
      <c r="H150" s="94"/>
    </row>
    <row r="151" spans="1:8" ht="18" customHeight="1" x14ac:dyDescent="0.25">
      <c r="A151" s="93">
        <v>44684</v>
      </c>
      <c r="B151" s="94" t="s">
        <v>225</v>
      </c>
      <c r="C151" s="94" t="s">
        <v>85</v>
      </c>
      <c r="D151" s="98" t="s">
        <v>204</v>
      </c>
      <c r="E151" s="92" t="str">
        <f>INDEX(Deploy!C$2:C$55, MATCH(Tabla2[[#This Row],[Artif_id]],Deploy!E$2:E$55,0))</f>
        <v>jobsintegration</v>
      </c>
      <c r="F151" s="95" t="s">
        <v>49</v>
      </c>
      <c r="G151" s="97" t="s">
        <v>220</v>
      </c>
      <c r="H151" s="94"/>
    </row>
    <row r="152" spans="1:8" ht="18" customHeight="1" x14ac:dyDescent="0.25">
      <c r="A152" s="93">
        <v>44684</v>
      </c>
      <c r="B152" s="94" t="s">
        <v>225</v>
      </c>
      <c r="C152" s="94" t="s">
        <v>85</v>
      </c>
      <c r="D152" s="98" t="s">
        <v>204</v>
      </c>
      <c r="E152" s="92" t="str">
        <f>INDEX(Deploy!C$2:C$55, MATCH(Tabla2[[#This Row],[Artif_id]],Deploy!E$2:E$55,0))</f>
        <v>accountingjobs</v>
      </c>
      <c r="F152" s="95" t="s">
        <v>56</v>
      </c>
      <c r="G152" s="97" t="s">
        <v>221</v>
      </c>
      <c r="H152" s="94"/>
    </row>
    <row r="153" spans="1:8" ht="18" customHeight="1" x14ac:dyDescent="0.25">
      <c r="A153" s="93">
        <v>44684</v>
      </c>
      <c r="B153" s="94" t="s">
        <v>225</v>
      </c>
      <c r="C153" s="94" t="s">
        <v>85</v>
      </c>
      <c r="D153" s="98" t="s">
        <v>204</v>
      </c>
      <c r="E153" s="92" t="str">
        <f>INDEX(Deploy!C$2:C$55, MATCH(Tabla2[[#This Row],[Artif_id]],Deploy!E$2:E$55,0))</f>
        <v>accruementjobs</v>
      </c>
      <c r="F153" s="95" t="s">
        <v>58</v>
      </c>
      <c r="G153" s="97" t="s">
        <v>222</v>
      </c>
      <c r="H153" s="94"/>
    </row>
    <row r="154" spans="1:8" ht="18" customHeight="1" x14ac:dyDescent="0.25">
      <c r="A154" s="93">
        <v>44684</v>
      </c>
      <c r="B154" s="94" t="s">
        <v>225</v>
      </c>
      <c r="C154" s="94" t="s">
        <v>85</v>
      </c>
      <c r="D154" s="98" t="s">
        <v>204</v>
      </c>
      <c r="E154" s="92" t="str">
        <f>INDEX(Deploy!C$2:C$55, MATCH(Tabla2[[#This Row],[Artif_id]],Deploy!E$2:E$55,0))</f>
        <v>stbimportjobs</v>
      </c>
      <c r="F154" s="95" t="s">
        <v>72</v>
      </c>
      <c r="G154" s="97" t="s">
        <v>214</v>
      </c>
      <c r="H154" s="94"/>
    </row>
    <row r="155" spans="1:8" ht="18" customHeight="1" x14ac:dyDescent="0.25">
      <c r="A155" s="93">
        <v>44684</v>
      </c>
      <c r="B155" s="94" t="s">
        <v>225</v>
      </c>
      <c r="C155" s="94" t="s">
        <v>85</v>
      </c>
      <c r="D155" s="98" t="s">
        <v>204</v>
      </c>
      <c r="E155" s="92" t="str">
        <f>INDEX(Deploy!C$2:C$55, MATCH(Tabla2[[#This Row],[Artif_id]],Deploy!E$2:E$55,0))</f>
        <v>jobsgts</v>
      </c>
      <c r="F155" s="95" t="s">
        <v>73</v>
      </c>
      <c r="G155" s="97" t="s">
        <v>223</v>
      </c>
      <c r="H155" s="94"/>
    </row>
    <row r="156" spans="1:8" ht="18" customHeight="1" x14ac:dyDescent="0.25">
      <c r="A156" s="93">
        <v>44692</v>
      </c>
      <c r="B156" s="94" t="s">
        <v>225</v>
      </c>
      <c r="C156" s="94" t="s">
        <v>85</v>
      </c>
      <c r="D156" s="98" t="s">
        <v>226</v>
      </c>
      <c r="E156" s="92" t="str">
        <f>INDEX(Deploy!C$2:C$55, MATCH(Tabla2[[#This Row],[Artif_id]],Deploy!E$2:E$55,0))</f>
        <v>gateway</v>
      </c>
      <c r="F156" s="95" t="s">
        <v>112</v>
      </c>
      <c r="G156" s="97" t="s">
        <v>145</v>
      </c>
      <c r="H156" s="94"/>
    </row>
    <row r="157" spans="1:8" ht="18" customHeight="1" x14ac:dyDescent="0.25">
      <c r="A157" s="93">
        <v>44692</v>
      </c>
      <c r="B157" s="94" t="s">
        <v>225</v>
      </c>
      <c r="C157" s="94" t="s">
        <v>85</v>
      </c>
      <c r="D157" s="98" t="s">
        <v>226</v>
      </c>
      <c r="E157" s="92" t="str">
        <f>INDEX(Deploy!C$2:C$55, MATCH(Tabla2[[#This Row],[Artif_id]],Deploy!E$2:E$55,0))</f>
        <v>gateway</v>
      </c>
      <c r="F157" s="95" t="s">
        <v>8</v>
      </c>
      <c r="G157" s="97" t="s">
        <v>145</v>
      </c>
      <c r="H157" s="94"/>
    </row>
    <row r="158" spans="1:8" ht="18" customHeight="1" x14ac:dyDescent="0.25">
      <c r="A158" s="93">
        <v>44692</v>
      </c>
      <c r="B158" s="94" t="s">
        <v>225</v>
      </c>
      <c r="C158" s="94" t="s">
        <v>85</v>
      </c>
      <c r="D158" s="98" t="s">
        <v>226</v>
      </c>
      <c r="E158" s="92" t="str">
        <f>INDEX(Deploy!C$2:C$55, MATCH(Tabla2[[#This Row],[Artif_id]],Deploy!E$2:E$55,0))</f>
        <v>cloud</v>
      </c>
      <c r="F158" s="95" t="s">
        <v>12</v>
      </c>
      <c r="G158" s="97" t="s">
        <v>231</v>
      </c>
      <c r="H158" s="94"/>
    </row>
    <row r="159" spans="1:8" ht="18" customHeight="1" x14ac:dyDescent="0.25">
      <c r="A159" s="93">
        <v>44692</v>
      </c>
      <c r="B159" s="94" t="s">
        <v>225</v>
      </c>
      <c r="C159" s="94" t="s">
        <v>85</v>
      </c>
      <c r="D159" s="98" t="s">
        <v>226</v>
      </c>
      <c r="E159" s="92" t="str">
        <f>INDEX(Deploy!C$2:C$55, MATCH(Tabla2[[#This Row],[Artif_id]],Deploy!E$2:E$55,0))</f>
        <v>cloud</v>
      </c>
      <c r="F159" s="95" t="s">
        <v>13</v>
      </c>
      <c r="G159" s="97" t="s">
        <v>231</v>
      </c>
      <c r="H159" s="94"/>
    </row>
    <row r="160" spans="1:8" ht="18" customHeight="1" x14ac:dyDescent="0.25">
      <c r="A160" s="93">
        <v>44692</v>
      </c>
      <c r="B160" s="94" t="s">
        <v>225</v>
      </c>
      <c r="C160" s="94" t="s">
        <v>85</v>
      </c>
      <c r="D160" s="98" t="s">
        <v>226</v>
      </c>
      <c r="E160" s="92" t="str">
        <f>INDEX(Deploy!C$2:C$55, MATCH(Tabla2[[#This Row],[Artif_id]],Deploy!E$2:E$55,0))</f>
        <v>scheduler</v>
      </c>
      <c r="F160" s="95" t="s">
        <v>15</v>
      </c>
      <c r="G160" s="97" t="s">
        <v>229</v>
      </c>
      <c r="H160" s="94"/>
    </row>
    <row r="161" spans="1:8" ht="18" customHeight="1" x14ac:dyDescent="0.25">
      <c r="A161" s="93">
        <v>44692</v>
      </c>
      <c r="B161" s="94" t="s">
        <v>225</v>
      </c>
      <c r="C161" s="94" t="s">
        <v>85</v>
      </c>
      <c r="D161" s="98" t="s">
        <v>226</v>
      </c>
      <c r="E161" s="92" t="str">
        <f>INDEX(Deploy!C$2:C$55, MATCH(Tabla2[[#This Row],[Artif_id]],Deploy!E$2:E$55,0))</f>
        <v>scheduler</v>
      </c>
      <c r="F161" s="95" t="s">
        <v>16</v>
      </c>
      <c r="G161" s="97" t="s">
        <v>229</v>
      </c>
      <c r="H161" s="94"/>
    </row>
    <row r="162" spans="1:8" ht="18" customHeight="1" x14ac:dyDescent="0.25">
      <c r="A162" s="93">
        <v>44692</v>
      </c>
      <c r="B162" s="94" t="s">
        <v>225</v>
      </c>
      <c r="C162" s="94" t="s">
        <v>85</v>
      </c>
      <c r="D162" s="98" t="s">
        <v>226</v>
      </c>
      <c r="E162" s="92" t="str">
        <f>INDEX(Deploy!C$2:C$55, MATCH(Tabla2[[#This Row],[Artif_id]],Deploy!E$2:E$55,0))</f>
        <v>tokenmanager</v>
      </c>
      <c r="F162" s="95" t="s">
        <v>18</v>
      </c>
      <c r="G162" s="97" t="s">
        <v>230</v>
      </c>
      <c r="H162" s="94"/>
    </row>
    <row r="163" spans="1:8" ht="18" customHeight="1" x14ac:dyDescent="0.25">
      <c r="A163" s="93">
        <v>44692</v>
      </c>
      <c r="B163" s="94" t="s">
        <v>225</v>
      </c>
      <c r="C163" s="94" t="s">
        <v>85</v>
      </c>
      <c r="D163" s="98" t="s">
        <v>226</v>
      </c>
      <c r="E163" s="92" t="str">
        <f>INDEX(Deploy!C$2:C$55, MATCH(Tabla2[[#This Row],[Artif_id]],Deploy!E$2:E$55,0))</f>
        <v>tokenmanager</v>
      </c>
      <c r="F163" s="95" t="s">
        <v>20</v>
      </c>
      <c r="G163" s="97" t="s">
        <v>230</v>
      </c>
      <c r="H163" s="94"/>
    </row>
    <row r="164" spans="1:8" ht="18" customHeight="1" x14ac:dyDescent="0.25">
      <c r="A164" s="93">
        <v>44692</v>
      </c>
      <c r="B164" s="94" t="s">
        <v>225</v>
      </c>
      <c r="C164" s="94" t="s">
        <v>85</v>
      </c>
      <c r="D164" s="98" t="s">
        <v>226</v>
      </c>
      <c r="E164" s="92" t="str">
        <f>INDEX(Deploy!C$2:C$55, MATCH(Tabla2[[#This Row],[Artif_id]],Deploy!E$2:E$55,0))</f>
        <v>collectionsexport</v>
      </c>
      <c r="F164" s="95" t="s">
        <v>23</v>
      </c>
      <c r="G164" s="97" t="s">
        <v>231</v>
      </c>
      <c r="H164" s="94"/>
    </row>
    <row r="165" spans="1:8" ht="18" customHeight="1" x14ac:dyDescent="0.25">
      <c r="A165" s="93">
        <v>44692</v>
      </c>
      <c r="B165" s="94" t="s">
        <v>225</v>
      </c>
      <c r="C165" s="94" t="s">
        <v>85</v>
      </c>
      <c r="D165" s="98" t="s">
        <v>226</v>
      </c>
      <c r="E165" s="92" t="str">
        <f>INDEX(Deploy!C$2:C$55, MATCH(Tabla2[[#This Row],[Artif_id]],Deploy!E$2:E$55,0))</f>
        <v>collectionsexport</v>
      </c>
      <c r="F165" s="95" t="s">
        <v>24</v>
      </c>
      <c r="G165" s="97" t="s">
        <v>231</v>
      </c>
      <c r="H165" s="94"/>
    </row>
    <row r="166" spans="1:8" ht="18" customHeight="1" x14ac:dyDescent="0.25">
      <c r="A166" s="93">
        <v>44692</v>
      </c>
      <c r="B166" s="94" t="s">
        <v>225</v>
      </c>
      <c r="C166" s="94" t="s">
        <v>85</v>
      </c>
      <c r="D166" s="98" t="s">
        <v>226</v>
      </c>
      <c r="E166" s="92" t="str">
        <f>INDEX(Deploy!C$2:C$55, MATCH(Tabla2[[#This Row],[Artif_id]],Deploy!E$2:E$55,0))</f>
        <v>collectionsimport</v>
      </c>
      <c r="F166" s="95" t="s">
        <v>25</v>
      </c>
      <c r="G166" s="97" t="s">
        <v>133</v>
      </c>
      <c r="H166" s="94"/>
    </row>
    <row r="167" spans="1:8" ht="18" customHeight="1" x14ac:dyDescent="0.25">
      <c r="A167" s="93">
        <v>44692</v>
      </c>
      <c r="B167" s="94" t="s">
        <v>225</v>
      </c>
      <c r="C167" s="94" t="s">
        <v>85</v>
      </c>
      <c r="D167" s="98" t="s">
        <v>226</v>
      </c>
      <c r="E167" s="92" t="str">
        <f>INDEX(Deploy!C$2:C$55, MATCH(Tabla2[[#This Row],[Artif_id]],Deploy!E$2:E$55,0))</f>
        <v>collectionsimport</v>
      </c>
      <c r="F167" s="95" t="s">
        <v>26</v>
      </c>
      <c r="G167" s="97" t="s">
        <v>133</v>
      </c>
      <c r="H167" s="94"/>
    </row>
    <row r="168" spans="1:8" ht="18" customHeight="1" x14ac:dyDescent="0.25">
      <c r="A168" s="93">
        <v>44692</v>
      </c>
      <c r="B168" s="94" t="s">
        <v>225</v>
      </c>
      <c r="C168" s="94" t="s">
        <v>85</v>
      </c>
      <c r="D168" s="98" t="s">
        <v>226</v>
      </c>
      <c r="E168" s="92" t="str">
        <f>INDEX(Deploy!C$2:C$55, MATCH(Tabla2[[#This Row],[Artif_id]],Deploy!E$2:E$55,0))</f>
        <v>exportlc</v>
      </c>
      <c r="F168" s="95" t="s">
        <v>27</v>
      </c>
      <c r="G168" s="97" t="s">
        <v>99</v>
      </c>
      <c r="H168" s="94"/>
    </row>
    <row r="169" spans="1:8" ht="18" customHeight="1" x14ac:dyDescent="0.25">
      <c r="A169" s="93">
        <v>44692</v>
      </c>
      <c r="B169" s="94" t="s">
        <v>225</v>
      </c>
      <c r="C169" s="94" t="s">
        <v>85</v>
      </c>
      <c r="D169" s="98" t="s">
        <v>226</v>
      </c>
      <c r="E169" s="92" t="str">
        <f>INDEX(Deploy!C$2:C$55, MATCH(Tabla2[[#This Row],[Artif_id]],Deploy!E$2:E$55,0))</f>
        <v>exportlc</v>
      </c>
      <c r="F169" s="95" t="s">
        <v>29</v>
      </c>
      <c r="G169" s="97" t="s">
        <v>99</v>
      </c>
      <c r="H169" s="94"/>
    </row>
    <row r="170" spans="1:8" ht="18" customHeight="1" x14ac:dyDescent="0.25">
      <c r="A170" s="93">
        <v>44692</v>
      </c>
      <c r="B170" s="94" t="s">
        <v>225</v>
      </c>
      <c r="C170" s="94" t="s">
        <v>85</v>
      </c>
      <c r="D170" s="98" t="s">
        <v>226</v>
      </c>
      <c r="E170" s="92" t="str">
        <f>INDEX(Deploy!C$2:C$55, MATCH(Tabla2[[#This Row],[Artif_id]],Deploy!E$2:E$55,0))</f>
        <v>importlc</v>
      </c>
      <c r="F170" s="95" t="s">
        <v>30</v>
      </c>
      <c r="G170" s="97" t="s">
        <v>214</v>
      </c>
      <c r="H170" s="94"/>
    </row>
    <row r="171" spans="1:8" ht="18" customHeight="1" x14ac:dyDescent="0.25">
      <c r="A171" s="93">
        <v>44692</v>
      </c>
      <c r="B171" s="94" t="s">
        <v>225</v>
      </c>
      <c r="C171" s="94" t="s">
        <v>85</v>
      </c>
      <c r="D171" s="98" t="s">
        <v>226</v>
      </c>
      <c r="E171" s="92" t="str">
        <f>INDEX(Deploy!C$2:C$55, MATCH(Tabla2[[#This Row],[Artif_id]],Deploy!E$2:E$55,0))</f>
        <v>importlc</v>
      </c>
      <c r="F171" s="95" t="s">
        <v>31</v>
      </c>
      <c r="G171" s="97" t="s">
        <v>214</v>
      </c>
      <c r="H171" s="94"/>
    </row>
    <row r="172" spans="1:8" ht="18" customHeight="1" x14ac:dyDescent="0.25">
      <c r="A172" s="93">
        <v>44692</v>
      </c>
      <c r="B172" s="94" t="s">
        <v>225</v>
      </c>
      <c r="C172" s="94" t="s">
        <v>85</v>
      </c>
      <c r="D172" s="98" t="s">
        <v>226</v>
      </c>
      <c r="E172" s="92" t="str">
        <f>INDEX(Deploy!C$2:C$55, MATCH(Tabla2[[#This Row],[Artif_id]],Deploy!E$2:E$55,0))</f>
        <v>stbexport</v>
      </c>
      <c r="F172" s="95" t="s">
        <v>32</v>
      </c>
      <c r="G172" s="97" t="s">
        <v>232</v>
      </c>
      <c r="H172" s="94"/>
    </row>
    <row r="173" spans="1:8" ht="18" customHeight="1" x14ac:dyDescent="0.25">
      <c r="A173" s="93">
        <v>44692</v>
      </c>
      <c r="B173" s="94" t="s">
        <v>225</v>
      </c>
      <c r="C173" s="94" t="s">
        <v>85</v>
      </c>
      <c r="D173" s="98" t="s">
        <v>226</v>
      </c>
      <c r="E173" s="92" t="str">
        <f>INDEX(Deploy!C$2:C$55, MATCH(Tabla2[[#This Row],[Artif_id]],Deploy!E$2:E$55,0))</f>
        <v>stbexport</v>
      </c>
      <c r="F173" s="95" t="s">
        <v>33</v>
      </c>
      <c r="G173" s="97" t="s">
        <v>232</v>
      </c>
      <c r="H173" s="94"/>
    </row>
    <row r="174" spans="1:8" ht="18" customHeight="1" x14ac:dyDescent="0.25">
      <c r="A174" s="93">
        <v>44692</v>
      </c>
      <c r="B174" s="94" t="s">
        <v>225</v>
      </c>
      <c r="C174" s="94" t="s">
        <v>85</v>
      </c>
      <c r="D174" s="98" t="s">
        <v>226</v>
      </c>
      <c r="E174" s="92" t="str">
        <f>INDEX(Deploy!C$2:C$55, MATCH(Tabla2[[#This Row],[Artif_id]],Deploy!E$2:E$55,0))</f>
        <v>stbimport</v>
      </c>
      <c r="F174" s="95" t="s">
        <v>34</v>
      </c>
      <c r="G174" s="97" t="s">
        <v>102</v>
      </c>
      <c r="H174" s="94"/>
    </row>
    <row r="175" spans="1:8" ht="18" customHeight="1" x14ac:dyDescent="0.25">
      <c r="A175" s="93">
        <v>44692</v>
      </c>
      <c r="B175" s="94" t="s">
        <v>225</v>
      </c>
      <c r="C175" s="94" t="s">
        <v>85</v>
      </c>
      <c r="D175" s="98" t="s">
        <v>226</v>
      </c>
      <c r="E175" s="92" t="str">
        <f>INDEX(Deploy!C$2:C$55, MATCH(Tabla2[[#This Row],[Artif_id]],Deploy!E$2:E$55,0))</f>
        <v>stbimport</v>
      </c>
      <c r="F175" s="95" t="s">
        <v>35</v>
      </c>
      <c r="G175" s="97" t="s">
        <v>102</v>
      </c>
      <c r="H175" s="94"/>
    </row>
    <row r="176" spans="1:8" ht="18" customHeight="1" x14ac:dyDescent="0.25">
      <c r="A176" s="93">
        <v>44692</v>
      </c>
      <c r="B176" s="94" t="s">
        <v>225</v>
      </c>
      <c r="C176" s="94" t="s">
        <v>85</v>
      </c>
      <c r="D176" s="98" t="s">
        <v>226</v>
      </c>
      <c r="E176" s="92" t="str">
        <f>INDEX(Deploy!C$2:C$55, MATCH(Tabla2[[#This Row],[Artif_id]],Deploy!E$2:E$55,0))</f>
        <v>loans</v>
      </c>
      <c r="F176" s="95" t="s">
        <v>36</v>
      </c>
      <c r="G176" s="97" t="s">
        <v>213</v>
      </c>
      <c r="H176" s="94"/>
    </row>
    <row r="177" spans="1:8" ht="18" customHeight="1" x14ac:dyDescent="0.25">
      <c r="A177" s="93">
        <v>44692</v>
      </c>
      <c r="B177" s="94" t="s">
        <v>225</v>
      </c>
      <c r="C177" s="94" t="s">
        <v>85</v>
      </c>
      <c r="D177" s="98" t="s">
        <v>226</v>
      </c>
      <c r="E177" s="92" t="str">
        <f>INDEX(Deploy!C$2:C$55, MATCH(Tabla2[[#This Row],[Artif_id]],Deploy!E$2:E$55,0))</f>
        <v>loans</v>
      </c>
      <c r="F177" s="95" t="s">
        <v>37</v>
      </c>
      <c r="G177" s="97" t="s">
        <v>213</v>
      </c>
      <c r="H177" s="94"/>
    </row>
    <row r="178" spans="1:8" ht="18" customHeight="1" x14ac:dyDescent="0.25">
      <c r="A178" s="93">
        <v>44692</v>
      </c>
      <c r="B178" s="94" t="s">
        <v>225</v>
      </c>
      <c r="C178" s="94" t="s">
        <v>85</v>
      </c>
      <c r="D178" s="98" t="s">
        <v>226</v>
      </c>
      <c r="E178" s="92" t="str">
        <f>INDEX(Deploy!C$2:C$55, MATCH(Tabla2[[#This Row],[Artif_id]],Deploy!E$2:E$55,0))</f>
        <v>gtsintegration</v>
      </c>
      <c r="F178" s="95" t="s">
        <v>39</v>
      </c>
      <c r="G178" s="97" t="s">
        <v>233</v>
      </c>
      <c r="H178" s="94"/>
    </row>
    <row r="179" spans="1:8" ht="18" customHeight="1" x14ac:dyDescent="0.25">
      <c r="A179" s="93">
        <v>44692</v>
      </c>
      <c r="B179" s="94" t="s">
        <v>225</v>
      </c>
      <c r="C179" s="94" t="s">
        <v>85</v>
      </c>
      <c r="D179" s="98" t="s">
        <v>226</v>
      </c>
      <c r="E179" s="92" t="str">
        <f>INDEX(Deploy!C$2:C$55, MATCH(Tabla2[[#This Row],[Artif_id]],Deploy!E$2:E$55,0))</f>
        <v>mockgts</v>
      </c>
      <c r="F179" s="95" t="s">
        <v>40</v>
      </c>
      <c r="G179" s="97" t="s">
        <v>101</v>
      </c>
      <c r="H179" s="94"/>
    </row>
    <row r="180" spans="1:8" ht="18" customHeight="1" x14ac:dyDescent="0.25">
      <c r="A180" s="93">
        <v>44692</v>
      </c>
      <c r="B180" s="94" t="s">
        <v>225</v>
      </c>
      <c r="C180" s="94" t="s">
        <v>85</v>
      </c>
      <c r="D180" s="98" t="s">
        <v>226</v>
      </c>
      <c r="E180" s="92" t="str">
        <f>INDEX(Deploy!C$2:C$55, MATCH(Tabla2[[#This Row],[Artif_id]],Deploy!E$2:E$55,0))</f>
        <v>collexpintegration</v>
      </c>
      <c r="F180" s="95" t="s">
        <v>41</v>
      </c>
      <c r="G180" s="97" t="s">
        <v>234</v>
      </c>
      <c r="H180" s="94"/>
    </row>
    <row r="181" spans="1:8" ht="18" customHeight="1" x14ac:dyDescent="0.25">
      <c r="A181" s="93">
        <v>44692</v>
      </c>
      <c r="B181" s="94" t="s">
        <v>225</v>
      </c>
      <c r="C181" s="94" t="s">
        <v>85</v>
      </c>
      <c r="D181" s="98" t="s">
        <v>226</v>
      </c>
      <c r="E181" s="92" t="str">
        <f>INDEX(Deploy!C$2:C$55, MATCH(Tabla2[[#This Row],[Artif_id]],Deploy!E$2:E$55,0))</f>
        <v>collimpintegration</v>
      </c>
      <c r="F181" s="95" t="s">
        <v>42</v>
      </c>
      <c r="G181" s="97" t="s">
        <v>235</v>
      </c>
      <c r="H181" s="94"/>
    </row>
    <row r="182" spans="1:8" ht="18" customHeight="1" x14ac:dyDescent="0.25">
      <c r="A182" s="93">
        <v>44692</v>
      </c>
      <c r="B182" s="94" t="s">
        <v>225</v>
      </c>
      <c r="C182" s="94" t="s">
        <v>85</v>
      </c>
      <c r="D182" s="98" t="s">
        <v>226</v>
      </c>
      <c r="E182" s="92" t="str">
        <f>INDEX(Deploy!C$2:C$55, MATCH(Tabla2[[#This Row],[Artif_id]],Deploy!E$2:E$55,0))</f>
        <v>exportlcintegration</v>
      </c>
      <c r="F182" s="95" t="s">
        <v>43</v>
      </c>
      <c r="G182" s="97" t="s">
        <v>234</v>
      </c>
      <c r="H182" s="94"/>
    </row>
    <row r="183" spans="1:8" ht="18" customHeight="1" x14ac:dyDescent="0.25">
      <c r="A183" s="93">
        <v>44692</v>
      </c>
      <c r="B183" s="94" t="s">
        <v>225</v>
      </c>
      <c r="C183" s="94" t="s">
        <v>85</v>
      </c>
      <c r="D183" s="98" t="s">
        <v>226</v>
      </c>
      <c r="E183" s="92" t="str">
        <f>INDEX(Deploy!C$2:C$55, MATCH(Tabla2[[#This Row],[Artif_id]],Deploy!E$2:E$55,0))</f>
        <v>importlcintegration</v>
      </c>
      <c r="F183" s="95" t="s">
        <v>44</v>
      </c>
      <c r="G183" s="97" t="s">
        <v>100</v>
      </c>
      <c r="H183" s="94"/>
    </row>
    <row r="184" spans="1:8" ht="18" customHeight="1" x14ac:dyDescent="0.25">
      <c r="A184" s="93">
        <v>44692</v>
      </c>
      <c r="B184" s="94" t="s">
        <v>225</v>
      </c>
      <c r="C184" s="94" t="s">
        <v>85</v>
      </c>
      <c r="D184" s="98" t="s">
        <v>226</v>
      </c>
      <c r="E184" s="92" t="str">
        <f>INDEX(Deploy!C$2:C$55, MATCH(Tabla2[[#This Row],[Artif_id]],Deploy!E$2:E$55,0))</f>
        <v>loansintegration</v>
      </c>
      <c r="F184" s="95" t="s">
        <v>45</v>
      </c>
      <c r="G184" s="97" t="s">
        <v>236</v>
      </c>
      <c r="H184" s="94"/>
    </row>
    <row r="185" spans="1:8" ht="18" customHeight="1" x14ac:dyDescent="0.25">
      <c r="A185" s="93">
        <v>44692</v>
      </c>
      <c r="B185" s="94" t="s">
        <v>225</v>
      </c>
      <c r="C185" s="94" t="s">
        <v>85</v>
      </c>
      <c r="D185" s="98" t="s">
        <v>226</v>
      </c>
      <c r="E185" s="92" t="str">
        <f>INDEX(Deploy!C$2:C$55, MATCH(Tabla2[[#This Row],[Artif_id]],Deploy!E$2:E$55,0))</f>
        <v>stbexportintegration</v>
      </c>
      <c r="F185" s="95" t="s">
        <v>46</v>
      </c>
      <c r="G185" s="97" t="s">
        <v>111</v>
      </c>
      <c r="H185" s="94"/>
    </row>
    <row r="186" spans="1:8" ht="18" customHeight="1" x14ac:dyDescent="0.25">
      <c r="A186" s="93">
        <v>44692</v>
      </c>
      <c r="B186" s="94" t="s">
        <v>225</v>
      </c>
      <c r="C186" s="94" t="s">
        <v>85</v>
      </c>
      <c r="D186" s="98" t="s">
        <v>226</v>
      </c>
      <c r="E186" s="92" t="str">
        <f>INDEX(Deploy!C$2:C$55, MATCH(Tabla2[[#This Row],[Artif_id]],Deploy!E$2:E$55,0))</f>
        <v>stbimportintegration</v>
      </c>
      <c r="F186" s="95" t="s">
        <v>48</v>
      </c>
      <c r="G186" s="97" t="s">
        <v>237</v>
      </c>
      <c r="H186" s="94"/>
    </row>
    <row r="187" spans="1:8" ht="18" customHeight="1" x14ac:dyDescent="0.25">
      <c r="A187" s="93">
        <v>44692</v>
      </c>
      <c r="B187" s="94" t="s">
        <v>225</v>
      </c>
      <c r="C187" s="94" t="s">
        <v>85</v>
      </c>
      <c r="D187" s="98" t="s">
        <v>226</v>
      </c>
      <c r="E187" s="92" t="str">
        <f>INDEX(Deploy!C$2:C$55, MATCH(Tabla2[[#This Row],[Artif_id]],Deploy!E$2:E$55,0))</f>
        <v>jobsintegration</v>
      </c>
      <c r="F187" s="95" t="s">
        <v>49</v>
      </c>
      <c r="G187" s="97" t="s">
        <v>238</v>
      </c>
      <c r="H187" s="94"/>
    </row>
    <row r="188" spans="1:8" ht="18" customHeight="1" x14ac:dyDescent="0.25">
      <c r="A188" s="93">
        <v>44692</v>
      </c>
      <c r="B188" s="94" t="s">
        <v>225</v>
      </c>
      <c r="C188" s="94" t="s">
        <v>85</v>
      </c>
      <c r="D188" s="98" t="s">
        <v>226</v>
      </c>
      <c r="E188" s="92" t="str">
        <f>INDEX(Deploy!C$2:C$55, MATCH(Tabla2[[#This Row],[Artif_id]],Deploy!E$2:E$55,0))</f>
        <v>importlcjobs</v>
      </c>
      <c r="F188" s="95" t="s">
        <v>193</v>
      </c>
      <c r="G188" s="97" t="s">
        <v>134</v>
      </c>
      <c r="H188" s="94"/>
    </row>
    <row r="189" spans="1:8" ht="18" customHeight="1" x14ac:dyDescent="0.25">
      <c r="A189" s="93">
        <v>44692</v>
      </c>
      <c r="B189" s="94" t="s">
        <v>225</v>
      </c>
      <c r="C189" s="94" t="s">
        <v>85</v>
      </c>
      <c r="D189" s="98" t="s">
        <v>226</v>
      </c>
      <c r="E189" s="92" t="str">
        <f>INDEX(Deploy!C$2:C$55, MATCH(Tabla2[[#This Row],[Artif_id]],Deploy!E$2:E$55,0))</f>
        <v>exportlcjobs</v>
      </c>
      <c r="F189" s="95" t="s">
        <v>195</v>
      </c>
      <c r="G189" s="97" t="s">
        <v>239</v>
      </c>
      <c r="H189" s="94"/>
    </row>
    <row r="190" spans="1:8" ht="18" customHeight="1" x14ac:dyDescent="0.25">
      <c r="A190" s="93">
        <v>44692</v>
      </c>
      <c r="B190" s="94" t="s">
        <v>225</v>
      </c>
      <c r="C190" s="94" t="s">
        <v>85</v>
      </c>
      <c r="D190" s="98" t="s">
        <v>226</v>
      </c>
      <c r="E190" s="92" t="str">
        <f>INDEX(Deploy!C$2:C$55, MATCH(Tabla2[[#This Row],[Artif_id]],Deploy!E$2:E$55,0))</f>
        <v>collectionsimportjobs</v>
      </c>
      <c r="F190" s="95" t="s">
        <v>197</v>
      </c>
      <c r="G190" s="97" t="s">
        <v>240</v>
      </c>
      <c r="H190" s="94"/>
    </row>
    <row r="191" spans="1:8" ht="18" customHeight="1" x14ac:dyDescent="0.25">
      <c r="A191" s="93">
        <v>44692</v>
      </c>
      <c r="B191" s="94" t="s">
        <v>225</v>
      </c>
      <c r="C191" s="94" t="s">
        <v>85</v>
      </c>
      <c r="D191" s="98" t="s">
        <v>226</v>
      </c>
      <c r="E191" s="92" t="str">
        <f>INDEX(Deploy!C$2:C$55, MATCH(Tabla2[[#This Row],[Artif_id]],Deploy!E$2:E$55,0))</f>
        <v>collectionsexportjobs</v>
      </c>
      <c r="F191" s="95" t="s">
        <v>52</v>
      </c>
      <c r="G191" s="97" t="s">
        <v>228</v>
      </c>
      <c r="H191" s="94"/>
    </row>
    <row r="192" spans="1:8" ht="18" customHeight="1" x14ac:dyDescent="0.25">
      <c r="A192" s="93">
        <v>44692</v>
      </c>
      <c r="B192" s="94" t="s">
        <v>225</v>
      </c>
      <c r="C192" s="94" t="s">
        <v>85</v>
      </c>
      <c r="D192" s="98" t="s">
        <v>226</v>
      </c>
      <c r="E192" s="92" t="str">
        <f>INDEX(Deploy!C$2:C$55, MATCH(Tabla2[[#This Row],[Artif_id]],Deploy!E$2:E$55,0))</f>
        <v>loansjobs</v>
      </c>
      <c r="F192" s="95" t="s">
        <v>54</v>
      </c>
      <c r="G192" s="97" t="s">
        <v>212</v>
      </c>
      <c r="H192" s="94"/>
    </row>
    <row r="193" spans="1:8" ht="18" customHeight="1" x14ac:dyDescent="0.25">
      <c r="A193" s="93">
        <v>44692</v>
      </c>
      <c r="B193" s="94" t="s">
        <v>225</v>
      </c>
      <c r="C193" s="94" t="s">
        <v>85</v>
      </c>
      <c r="D193" s="98" t="s">
        <v>226</v>
      </c>
      <c r="E193" s="92" t="str">
        <f>INDEX(Deploy!C$2:C$55, MATCH(Tabla2[[#This Row],[Artif_id]],Deploy!E$2:E$55,0))</f>
        <v>accountingjobs</v>
      </c>
      <c r="F193" s="95" t="s">
        <v>56</v>
      </c>
      <c r="G193" s="97" t="s">
        <v>241</v>
      </c>
      <c r="H193" s="94"/>
    </row>
    <row r="194" spans="1:8" ht="18" customHeight="1" x14ac:dyDescent="0.25">
      <c r="A194" s="93">
        <v>44692</v>
      </c>
      <c r="B194" s="94" t="s">
        <v>225</v>
      </c>
      <c r="C194" s="94" t="s">
        <v>85</v>
      </c>
      <c r="D194" s="98" t="s">
        <v>226</v>
      </c>
      <c r="E194" s="92" t="str">
        <f>INDEX(Deploy!C$2:C$55, MATCH(Tabla2[[#This Row],[Artif_id]],Deploy!E$2:E$55,0))</f>
        <v>accruementjobs</v>
      </c>
      <c r="F194" s="95" t="s">
        <v>58</v>
      </c>
      <c r="G194" s="97" t="s">
        <v>242</v>
      </c>
      <c r="H194" s="94"/>
    </row>
    <row r="195" spans="1:8" ht="18" customHeight="1" x14ac:dyDescent="0.25">
      <c r="A195" s="93">
        <v>44692</v>
      </c>
      <c r="B195" s="94" t="s">
        <v>225</v>
      </c>
      <c r="C195" s="94" t="s">
        <v>85</v>
      </c>
      <c r="D195" s="98" t="s">
        <v>226</v>
      </c>
      <c r="E195" s="92" t="str">
        <f>INDEX(Deploy!C$2:C$55, MATCH(Tabla2[[#This Row],[Artif_id]],Deploy!E$2:E$55,0))</f>
        <v>activityjobs</v>
      </c>
      <c r="F195" s="95" t="s">
        <v>60</v>
      </c>
      <c r="G195" s="97" t="s">
        <v>243</v>
      </c>
      <c r="H195" s="94"/>
    </row>
    <row r="196" spans="1:8" ht="18" customHeight="1" x14ac:dyDescent="0.25">
      <c r="A196" s="93">
        <v>44692</v>
      </c>
      <c r="B196" s="94" t="s">
        <v>225</v>
      </c>
      <c r="C196" s="94" t="s">
        <v>85</v>
      </c>
      <c r="D196" s="98" t="s">
        <v>226</v>
      </c>
      <c r="E196" s="92" t="str">
        <f>INDEX(Deploy!C$2:C$55, MATCH(Tabla2[[#This Row],[Artif_id]],Deploy!E$2:E$55,0))</f>
        <v>adminjobs</v>
      </c>
      <c r="F196" s="95" t="s">
        <v>62</v>
      </c>
      <c r="G196" s="97" t="s">
        <v>244</v>
      </c>
      <c r="H196" s="94"/>
    </row>
    <row r="197" spans="1:8" ht="18" customHeight="1" x14ac:dyDescent="0.25">
      <c r="A197" s="93">
        <v>44692</v>
      </c>
      <c r="B197" s="94" t="s">
        <v>225</v>
      </c>
      <c r="C197" s="94" t="s">
        <v>85</v>
      </c>
      <c r="D197" s="98" t="s">
        <v>226</v>
      </c>
      <c r="E197" s="92" t="str">
        <f>INDEX(Deploy!C$2:C$55, MATCH(Tabla2[[#This Row],[Artif_id]],Deploy!E$2:E$55,0))</f>
        <v>automaticprocessesjob</v>
      </c>
      <c r="F197" s="95" t="s">
        <v>64</v>
      </c>
      <c r="G197" s="97" t="s">
        <v>243</v>
      </c>
      <c r="H197" s="94"/>
    </row>
    <row r="198" spans="1:8" ht="18" customHeight="1" x14ac:dyDescent="0.25">
      <c r="A198" s="93">
        <v>44692</v>
      </c>
      <c r="B198" s="94" t="s">
        <v>225</v>
      </c>
      <c r="C198" s="94" t="s">
        <v>85</v>
      </c>
      <c r="D198" s="98" t="s">
        <v>226</v>
      </c>
      <c r="E198" s="92" t="str">
        <f>INDEX(Deploy!C$2:C$55, MATCH(Tabla2[[#This Row],[Artif_id]],Deploy!E$2:E$55,0))</f>
        <v>notificationjobs</v>
      </c>
      <c r="F198" s="95" t="s">
        <v>66</v>
      </c>
      <c r="G198" s="97" t="s">
        <v>243</v>
      </c>
      <c r="H198" s="94"/>
    </row>
    <row r="199" spans="1:8" ht="18" customHeight="1" x14ac:dyDescent="0.25">
      <c r="A199" s="93">
        <v>44692</v>
      </c>
      <c r="B199" s="94" t="s">
        <v>225</v>
      </c>
      <c r="C199" s="94" t="s">
        <v>85</v>
      </c>
      <c r="D199" s="98" t="s">
        <v>226</v>
      </c>
      <c r="E199" s="92" t="str">
        <f>INDEX(Deploy!C$2:C$55, MATCH(Tabla2[[#This Row],[Artif_id]],Deploy!E$2:E$55,0))</f>
        <v>reporterjobs</v>
      </c>
      <c r="F199" s="95" t="s">
        <v>68</v>
      </c>
      <c r="G199" s="97" t="s">
        <v>245</v>
      </c>
      <c r="H199" s="94"/>
    </row>
    <row r="200" spans="1:8" ht="18" customHeight="1" x14ac:dyDescent="0.25">
      <c r="A200" s="93">
        <v>44692</v>
      </c>
      <c r="B200" s="94" t="s">
        <v>225</v>
      </c>
      <c r="C200" s="94" t="s">
        <v>85</v>
      </c>
      <c r="D200" s="98" t="s">
        <v>226</v>
      </c>
      <c r="E200" s="92" t="str">
        <f>INDEX(Deploy!C$2:C$55, MATCH(Tabla2[[#This Row],[Artif_id]],Deploy!E$2:E$55,0))</f>
        <v>stbexportjobs</v>
      </c>
      <c r="F200" s="95" t="s">
        <v>70</v>
      </c>
      <c r="G200" s="97" t="s">
        <v>232</v>
      </c>
      <c r="H200" s="94"/>
    </row>
    <row r="201" spans="1:8" ht="18" customHeight="1" x14ac:dyDescent="0.25">
      <c r="A201" s="93">
        <v>44692</v>
      </c>
      <c r="B201" s="94" t="s">
        <v>225</v>
      </c>
      <c r="C201" s="94" t="s">
        <v>85</v>
      </c>
      <c r="D201" s="98" t="s">
        <v>226</v>
      </c>
      <c r="E201" s="92" t="str">
        <f>INDEX(Deploy!C$2:C$55, MATCH(Tabla2[[#This Row],[Artif_id]],Deploy!E$2:E$55,0))</f>
        <v>stbimportjobs</v>
      </c>
      <c r="F201" s="95" t="s">
        <v>72</v>
      </c>
      <c r="G201" s="97" t="s">
        <v>102</v>
      </c>
      <c r="H201" s="94"/>
    </row>
    <row r="202" spans="1:8" ht="18" customHeight="1" x14ac:dyDescent="0.25">
      <c r="A202" s="93">
        <v>44692</v>
      </c>
      <c r="B202" s="94" t="s">
        <v>225</v>
      </c>
      <c r="C202" s="94" t="s">
        <v>85</v>
      </c>
      <c r="D202" s="98" t="s">
        <v>226</v>
      </c>
      <c r="E202" s="92" t="str">
        <f>INDEX(Deploy!C$2:C$55, MATCH(Tabla2[[#This Row],[Artif_id]],Deploy!E$2:E$55,0))</f>
        <v>jobsgts</v>
      </c>
      <c r="F202" s="95" t="s">
        <v>73</v>
      </c>
      <c r="G202" s="97" t="s">
        <v>246</v>
      </c>
      <c r="H202" s="94"/>
    </row>
    <row r="203" spans="1:8" ht="18" customHeight="1" x14ac:dyDescent="0.25">
      <c r="A203" s="93">
        <v>44693</v>
      </c>
      <c r="B203" s="94" t="s">
        <v>225</v>
      </c>
      <c r="C203" s="94" t="s">
        <v>86</v>
      </c>
      <c r="D203" s="98" t="s">
        <v>249</v>
      </c>
      <c r="E203" s="92" t="str">
        <f>INDEX(Deploy!C$2:C$55, MATCH(Tabla2[[#This Row],[Artif_id]],Deploy!E$2:E$55,0))</f>
        <v>cloud</v>
      </c>
      <c r="F203" s="95" t="s">
        <v>13</v>
      </c>
      <c r="G203" s="97" t="s">
        <v>248</v>
      </c>
      <c r="H203" s="94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Conf</vt:lpstr>
      <vt:lpstr>Temp</vt:lpstr>
      <vt:lpstr>Deploy</vt:lpstr>
      <vt:lpstr>PastDeploys</vt:lpstr>
      <vt:lpstr>filePath</vt:lpstr>
    </vt:vector>
  </TitlesOfParts>
  <Company>Grupo Santander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x803139</dc:creator>
  <cp:lastModifiedBy>x803139</cp:lastModifiedBy>
  <dcterms:created xsi:type="dcterms:W3CDTF">2022-04-07T08:32:32Z</dcterms:created>
  <dcterms:modified xsi:type="dcterms:W3CDTF">2022-05-13T11:54:20Z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0c2abd79-57a9-4473-8700-c843f76a1e37_Enabled">
    <vt:lpwstr>true</vt:lpwstr>
  </property>
  <property fmtid="{D5CDD505-2E9C-101B-9397-08002B2CF9AE}" pid="3" name="MSIP_Label_0c2abd79-57a9-4473-8700-c843f76a1e37_SetDate">
    <vt:lpwstr>2022-04-07T11:36:07Z</vt:lpwstr>
  </property>
  <property fmtid="{D5CDD505-2E9C-101B-9397-08002B2CF9AE}" pid="4" name="MSIP_Label_0c2abd79-57a9-4473-8700-c843f76a1e37_Method">
    <vt:lpwstr>Privileged</vt:lpwstr>
  </property>
  <property fmtid="{D5CDD505-2E9C-101B-9397-08002B2CF9AE}" pid="5" name="MSIP_Label_0c2abd79-57a9-4473-8700-c843f76a1e37_Name">
    <vt:lpwstr>Internal</vt:lpwstr>
  </property>
  <property fmtid="{D5CDD505-2E9C-101B-9397-08002B2CF9AE}" pid="6" name="MSIP_Label_0c2abd79-57a9-4473-8700-c843f76a1e37_SiteId">
    <vt:lpwstr>35595a02-4d6d-44ac-99e1-f9ab4cd872db</vt:lpwstr>
  </property>
  <property fmtid="{D5CDD505-2E9C-101B-9397-08002B2CF9AE}" pid="7" name="MSIP_Label_0c2abd79-57a9-4473-8700-c843f76a1e37_ActionId">
    <vt:lpwstr>8dd87dce-4088-4bbe-b5c4-26e8037f2710</vt:lpwstr>
  </property>
  <property fmtid="{D5CDD505-2E9C-101B-9397-08002B2CF9AE}" pid="8" name="MSIP_Label_0c2abd79-57a9-4473-8700-c843f76a1e37_ContentBits">
    <vt:lpwstr>0</vt:lpwstr>
  </property>
</Properties>
</file>